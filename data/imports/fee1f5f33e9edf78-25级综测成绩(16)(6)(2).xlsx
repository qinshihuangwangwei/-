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微信\聊天\xwechat_files\wxid_dtd11r20oyd122_2f9f\msg\file\2026-09\"/>
    </mc:Choice>
  </mc:AlternateContent>
  <bookViews>
    <workbookView windowWidth="24750" windowHeight="12080" activeTab="3"/>
  </bookViews>
  <sheets>
    <sheet name="计算机2501-02综测成绩" sheetId="1" r:id="rId1"/>
    <sheet name="大数据2501综测成绩" sheetId="2" r:id="rId2"/>
    <sheet name="信计2501综测成绩" sheetId="3" r:id="rId3"/>
    <sheet name="人工智能2501综测成绩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<sst xmlns="http://schemas.openxmlformats.org/spreadsheetml/2006/main" count="506" uniqueCount="231">
  <si>
    <t>2024-2025年秋季学期计算机学院计算机2201-02班级综合测评成绩公示</t>
  </si>
  <si>
    <t>学号</t>
  </si>
  <si>
    <t>姓名</t>
  </si>
  <si>
    <t>班级</t>
  </si>
  <si>
    <t>A1（社会公德（6分）</t>
  </si>
  <si>
    <t>A2（学生工作）（18分）</t>
  </si>
  <si>
    <t>A3（党团活动）（13分）</t>
  </si>
  <si>
    <t>A4（公寓建设）（16分）</t>
  </si>
  <si>
    <t>A5（社会实践）（8分）</t>
  </si>
  <si>
    <t>A6（遵纪守法） （6分）</t>
  </si>
  <si>
    <t>A7（校园文化活动）（25分）</t>
  </si>
  <si>
    <t>A8易班工作（8分）</t>
  </si>
  <si>
    <t>A
（100分）</t>
  </si>
  <si>
    <t>A*0.3</t>
  </si>
  <si>
    <t>B
（100分）</t>
  </si>
  <si>
    <t>B*0.7</t>
  </si>
  <si>
    <t>C</t>
  </si>
  <si>
    <t>S=A*0.3+B*0.7+C</t>
  </si>
  <si>
    <t>志愿服务立项及开展
（4分）</t>
  </si>
  <si>
    <t>日常志愿服务及社会服务奉献
（2分）</t>
  </si>
  <si>
    <t>学生干部任职加分
（6分）</t>
  </si>
  <si>
    <t>参与学生工作情况（12分）</t>
  </si>
  <si>
    <t>党建活动
（3分）</t>
  </si>
  <si>
    <t>团建活动
（10分）</t>
  </si>
  <si>
    <t>寝室检查
（12分）</t>
  </si>
  <si>
    <t>校、院级的公寓文化节活动
（2分）</t>
  </si>
  <si>
    <t>星级寝室评比
（2分）</t>
  </si>
  <si>
    <t>立项加分
（2分）</t>
  </si>
  <si>
    <t>社会实践报告          （6分）</t>
  </si>
  <si>
    <t>社团
（3分）</t>
  </si>
  <si>
    <t>文艺类
（5分）</t>
  </si>
  <si>
    <t>体育类
（6分）</t>
  </si>
  <si>
    <t>创新创业类
（3分）</t>
  </si>
  <si>
    <t>其他素质能力
（8分）</t>
  </si>
  <si>
    <t>个人活跃度（2分）</t>
  </si>
  <si>
    <t>易班APP线上活动
（4分）</t>
  </si>
  <si>
    <t>易班线下活动（2分）</t>
  </si>
  <si>
    <t>主管部门评定（6分）</t>
  </si>
  <si>
    <t>班级评定（4分）</t>
  </si>
  <si>
    <t>劳动
（2分）</t>
  </si>
  <si>
    <t>班团活动
（5分）</t>
  </si>
  <si>
    <t>青年大学习（3分）</t>
  </si>
  <si>
    <t>突出贡献  （2分）</t>
  </si>
  <si>
    <t>团体社会实践
（3分）</t>
  </si>
  <si>
    <t>个人社会实践
（3分）</t>
  </si>
  <si>
    <t>方镝睿</t>
  </si>
  <si>
    <t>计算机2501</t>
  </si>
  <si>
    <t>王涛</t>
  </si>
  <si>
    <t>兰詩卉</t>
  </si>
  <si>
    <t>史一秀</t>
  </si>
  <si>
    <t>史博研</t>
  </si>
  <si>
    <t>旦增贡吉</t>
  </si>
  <si>
    <t>冯金山</t>
  </si>
  <si>
    <t>伦珠次仁</t>
  </si>
  <si>
    <t>孙佳怡</t>
  </si>
  <si>
    <t>闫玙旸</t>
  </si>
  <si>
    <t>佐合热古丽·阿布拉</t>
  </si>
  <si>
    <t>何佳宁</t>
  </si>
  <si>
    <t>张子恒</t>
  </si>
  <si>
    <t>张子德</t>
  </si>
  <si>
    <t>张润</t>
  </si>
  <si>
    <t>肖明宜</t>
  </si>
  <si>
    <t>李琦</t>
  </si>
  <si>
    <t>李鹏远</t>
  </si>
  <si>
    <t>杜佳怡</t>
  </si>
  <si>
    <t>邱添盛</t>
  </si>
  <si>
    <t>邹婉婷</t>
  </si>
  <si>
    <t>屈彦希</t>
  </si>
  <si>
    <t>林子竣</t>
  </si>
  <si>
    <t>罗朕</t>
  </si>
  <si>
    <t>赵萌萌</t>
  </si>
  <si>
    <t>唐世杰</t>
  </si>
  <si>
    <t>覃有楼</t>
  </si>
  <si>
    <t>戴书煜</t>
  </si>
  <si>
    <t>丁美月</t>
  </si>
  <si>
    <t>计算机2502</t>
  </si>
  <si>
    <t>王子涵</t>
  </si>
  <si>
    <t>王弈</t>
  </si>
  <si>
    <t>王海峰</t>
  </si>
  <si>
    <t>王潇潇</t>
  </si>
  <si>
    <t>古翰钰</t>
  </si>
  <si>
    <t>叶思远</t>
  </si>
  <si>
    <t>刘奕男</t>
  </si>
  <si>
    <t>朴有珍</t>
  </si>
  <si>
    <t>张怀文</t>
  </si>
  <si>
    <t>张晓悦</t>
  </si>
  <si>
    <t>张蕾</t>
  </si>
  <si>
    <t>李佳洋</t>
  </si>
  <si>
    <t>李茹雪</t>
  </si>
  <si>
    <t>李晓彤</t>
  </si>
  <si>
    <t>李涛</t>
  </si>
  <si>
    <t>杨鑫洁</t>
  </si>
  <si>
    <t>孟泓铭</t>
  </si>
  <si>
    <t>柳仪</t>
  </si>
  <si>
    <t>贵桑加措</t>
  </si>
  <si>
    <t>赵德智</t>
  </si>
  <si>
    <t>原恺晨</t>
  </si>
  <si>
    <t>唐硕</t>
  </si>
  <si>
    <t>晏紫霞</t>
  </si>
  <si>
    <t>高艺航</t>
  </si>
  <si>
    <t>章佩涵</t>
  </si>
  <si>
    <t>龚俊涛</t>
  </si>
  <si>
    <t>韩佳悦</t>
  </si>
  <si>
    <t>魏涌奇</t>
  </si>
  <si>
    <t xml:space="preserve"> </t>
  </si>
  <si>
    <t>2024-2025年秋季学期计算机学院大数据2201班级综合测评成绩公示</t>
  </si>
  <si>
    <t>马俊杰</t>
  </si>
  <si>
    <t>大数据2501</t>
  </si>
  <si>
    <t>王俊陆</t>
  </si>
  <si>
    <t>付一鸣</t>
  </si>
  <si>
    <t>付兆豪</t>
  </si>
  <si>
    <t>刘轩宇</t>
  </si>
  <si>
    <t>刘诗涵</t>
  </si>
  <si>
    <t>孙千越</t>
  </si>
  <si>
    <t>孙晓恒</t>
  </si>
  <si>
    <t>何佳好</t>
  </si>
  <si>
    <t>吴昊然</t>
  </si>
  <si>
    <t>张英健</t>
  </si>
  <si>
    <t>张博川</t>
  </si>
  <si>
    <t>张雯博</t>
  </si>
  <si>
    <t>张锦宇</t>
  </si>
  <si>
    <t>李宇</t>
  </si>
  <si>
    <t>李娜</t>
  </si>
  <si>
    <t>李谦毅</t>
  </si>
  <si>
    <t>李锐恒</t>
  </si>
  <si>
    <t>李静文</t>
  </si>
  <si>
    <t>杜慧慧</t>
  </si>
  <si>
    <t>杨凯</t>
  </si>
  <si>
    <t>苏李铭辉</t>
  </si>
  <si>
    <t>岳宏博</t>
  </si>
  <si>
    <t>郑旭含</t>
  </si>
  <si>
    <t>郑竣予</t>
  </si>
  <si>
    <t>金良素</t>
  </si>
  <si>
    <t>郭启航</t>
  </si>
  <si>
    <t>陶梓康</t>
  </si>
  <si>
    <t>高建群</t>
  </si>
  <si>
    <t>颜强辉</t>
  </si>
  <si>
    <t>2024-2025年秋季学期计算机学院信计2201班级综合测评成绩公示</t>
  </si>
  <si>
    <t>2511640101</t>
  </si>
  <si>
    <t>于兆涵</t>
  </si>
  <si>
    <t>信计2501</t>
  </si>
  <si>
    <t>2511640102</t>
  </si>
  <si>
    <t>马辰鑫</t>
  </si>
  <si>
    <t>2511640103</t>
  </si>
  <si>
    <t>王长君</t>
  </si>
  <si>
    <t>2511640104</t>
  </si>
  <si>
    <t>王惟</t>
  </si>
  <si>
    <t>2511640105</t>
  </si>
  <si>
    <t>王晶晶</t>
  </si>
  <si>
    <t>2511640106</t>
  </si>
  <si>
    <t>田丰铭</t>
  </si>
  <si>
    <t>2511640107</t>
  </si>
  <si>
    <t>刘珈睿</t>
  </si>
  <si>
    <t>2511640108</t>
  </si>
  <si>
    <t>朱灿阳</t>
  </si>
  <si>
    <t>2511640109</t>
  </si>
  <si>
    <t>许红艳</t>
  </si>
  <si>
    <t>2511640110</t>
  </si>
  <si>
    <t>许佳奇</t>
  </si>
  <si>
    <t>2511640111</t>
  </si>
  <si>
    <t>张宝杰</t>
  </si>
  <si>
    <t>2511640112</t>
  </si>
  <si>
    <t>张恒睿</t>
  </si>
  <si>
    <t>2511640113</t>
  </si>
  <si>
    <t>时瑜镁</t>
  </si>
  <si>
    <t>2511640114</t>
  </si>
  <si>
    <t>李佳航</t>
  </si>
  <si>
    <t>2511640115</t>
  </si>
  <si>
    <t>苏晋贤</t>
  </si>
  <si>
    <t>2511640116</t>
  </si>
  <si>
    <t>苏榕</t>
  </si>
  <si>
    <t>2511640117</t>
  </si>
  <si>
    <t>陆秋吉</t>
  </si>
  <si>
    <t>2511640118</t>
  </si>
  <si>
    <t>林枢</t>
  </si>
  <si>
    <t>2511640119</t>
  </si>
  <si>
    <t>林靖凯</t>
  </si>
  <si>
    <t>2511640120</t>
  </si>
  <si>
    <t>欧阳勋</t>
  </si>
  <si>
    <t>2511640121</t>
  </si>
  <si>
    <t>罗唤中</t>
  </si>
  <si>
    <t>2511640122</t>
  </si>
  <si>
    <t>郎际行</t>
  </si>
  <si>
    <t>2511640123</t>
  </si>
  <si>
    <t>赵廷卓</t>
  </si>
  <si>
    <t>2511640124</t>
  </si>
  <si>
    <t>夏秀铭</t>
  </si>
  <si>
    <t>2511640125</t>
  </si>
  <si>
    <t>郭洋洋</t>
  </si>
  <si>
    <t>2511640126</t>
  </si>
  <si>
    <t>崔玮珈</t>
  </si>
  <si>
    <t>2511640127</t>
  </si>
  <si>
    <t>常梦雅</t>
  </si>
  <si>
    <t>2511640128</t>
  </si>
  <si>
    <t>黄雯雯</t>
  </si>
  <si>
    <t>2511640129</t>
  </si>
  <si>
    <t>黄福现</t>
  </si>
  <si>
    <t>2511640130</t>
  </si>
  <si>
    <t>韩肖</t>
  </si>
  <si>
    <t>2024-2025年秋季学期计算机学院人工智能2201班级综合测评成绩公示</t>
  </si>
  <si>
    <t>乃比江·依米提</t>
  </si>
  <si>
    <t>人工智能2501</t>
  </si>
  <si>
    <t>于婧滢</t>
  </si>
  <si>
    <t>王文好</t>
  </si>
  <si>
    <t>王冠雄</t>
  </si>
  <si>
    <t>王新博</t>
  </si>
  <si>
    <t>王鹏</t>
  </si>
  <si>
    <t>司马睿明</t>
  </si>
  <si>
    <t>田佳欢</t>
  </si>
  <si>
    <t>关作丞</t>
  </si>
  <si>
    <t>吕冠宇</t>
  </si>
  <si>
    <t>朱佳浩</t>
  </si>
  <si>
    <t>朱鸿博</t>
  </si>
  <si>
    <t>许添泽</t>
  </si>
  <si>
    <t>闫伟凡</t>
  </si>
  <si>
    <t>吴学伟</t>
  </si>
  <si>
    <t>吴秋雨</t>
  </si>
  <si>
    <t>宋昀轩</t>
  </si>
  <si>
    <t>张宏瑞</t>
  </si>
  <si>
    <t>李恩姣</t>
  </si>
  <si>
    <t>李鸿鑫</t>
  </si>
  <si>
    <t>苏浩杰</t>
  </si>
  <si>
    <t>邱博睿</t>
  </si>
  <si>
    <t>邹松原</t>
  </si>
  <si>
    <t>单路德</t>
  </si>
  <si>
    <t>范思文</t>
  </si>
  <si>
    <t>赵广军</t>
  </si>
  <si>
    <t>赵平钰</t>
  </si>
  <si>
    <t>徐泓一</t>
  </si>
  <si>
    <t>肇以诺</t>
  </si>
  <si>
    <t>薄桐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</si>
</sst>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</numFmts>
  <fonts count="26">
    <font>
      <sz val="11"/>
      <color theme="1"/>
      <name val="宋体"/>
      <charset val="134"/>
      <scheme val="minor"/>
    </font>
    <font>
      <b/>
      <sz val="11"/>
      <color rgb="FF000000"/>
      <name val="等线"/>
      <charset val="134"/>
    </font>
    <font>
      <b/>
      <sz val="11"/>
      <name val="等线"/>
      <charset val="134"/>
    </font>
    <font>
      <sz val="10"/>
      <name val="Arial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8" applyNumberFormat="0" applyAlignment="0" applyProtection="0">
      <alignment vertical="center"/>
    </xf>
    <xf numFmtId="0" fontId="15" fillId="5" borderId="19" applyNumberFormat="0" applyAlignment="0" applyProtection="0">
      <alignment vertical="center"/>
    </xf>
    <xf numFmtId="0" fontId="16" fillId="5" borderId="18" applyNumberFormat="0" applyAlignment="0" applyProtection="0">
      <alignment vertical="center"/>
    </xf>
    <xf numFmtId="0" fontId="17" fillId="6" borderId="20" applyNumberFormat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5" fillId="0" borderId="0" applyBorder="0">
      <protection locked="0"/>
    </xf>
  </cellStyleXfs>
  <cellXfs count="4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49" applyFont="1" applyBorder="1" applyAlignment="1" applyProtection="1">
      <alignment horizontal="center" vertical="center" wrapText="1" shrinkToFit="1"/>
    </xf>
    <xf numFmtId="0" fontId="2" fillId="0" borderId="1" xfId="49" applyFont="1" applyBorder="1" applyAlignment="1" applyProtection="1">
      <alignment horizontal="center" vertical="center" shrinkToFit="1"/>
    </xf>
    <xf numFmtId="0" fontId="2" fillId="0" borderId="2" xfId="49" applyFont="1" applyBorder="1" applyAlignment="1" applyProtection="1">
      <alignment horizontal="center" vertical="center" wrapText="1" shrinkToFit="1"/>
    </xf>
    <xf numFmtId="0" fontId="2" fillId="0" borderId="3" xfId="49" applyFont="1" applyBorder="1" applyAlignment="1" applyProtection="1">
      <alignment horizontal="center" vertical="center" wrapText="1" shrinkToFit="1"/>
    </xf>
    <xf numFmtId="0" fontId="2" fillId="0" borderId="4" xfId="49" applyFont="1" applyBorder="1" applyAlignment="1" applyProtection="1">
      <alignment horizontal="center" vertical="center" wrapText="1" shrinkToFit="1"/>
    </xf>
    <xf numFmtId="176" fontId="2" fillId="0" borderId="1" xfId="49" applyNumberFormat="1" applyFont="1" applyBorder="1" applyAlignment="1" applyProtection="1">
      <alignment horizontal="center" vertical="center" wrapText="1" shrinkToFit="1"/>
    </xf>
    <xf numFmtId="0" fontId="2" fillId="0" borderId="5" xfId="49" applyFont="1" applyBorder="1" applyAlignment="1" applyProtection="1">
      <alignment horizontal="center" vertical="center" wrapText="1" shrinkToFit="1"/>
    </xf>
    <xf numFmtId="0" fontId="2" fillId="0" borderId="0" xfId="49" applyFont="1" applyBorder="1" applyAlignment="1" applyProtection="1">
      <alignment horizontal="center" vertical="center" wrapText="1" shrinkToFit="1"/>
    </xf>
    <xf numFmtId="0" fontId="2" fillId="0" borderId="6" xfId="49" applyFont="1" applyBorder="1" applyAlignment="1" applyProtection="1">
      <alignment horizontal="center" vertical="center" wrapText="1" shrinkToFit="1"/>
    </xf>
    <xf numFmtId="0" fontId="2" fillId="0" borderId="7" xfId="49" applyFont="1" applyBorder="1" applyAlignment="1" applyProtection="1">
      <alignment horizontal="center" vertical="center" shrinkToFi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7" xfId="49" applyFont="1" applyBorder="1" applyAlignment="1" applyProtection="1">
      <alignment horizontal="center" vertical="center" wrapText="1" shrinkToFit="1"/>
    </xf>
    <xf numFmtId="0" fontId="3" fillId="0" borderId="1" xfId="0" applyFont="1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177" fontId="0" fillId="0" borderId="10" xfId="0" applyNumberForma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1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4" fillId="0" borderId="11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12" xfId="0" applyNumberFormat="1" applyFont="1" applyFill="1" applyBorder="1" applyAlignment="1">
      <alignment horizontal="center" vertical="center"/>
    </xf>
    <xf numFmtId="0" fontId="4" fillId="0" borderId="13" xfId="0" applyNumberFormat="1" applyFont="1" applyFill="1" applyBorder="1" applyAlignment="1">
      <alignment horizontal="center" vertical="center"/>
    </xf>
    <xf numFmtId="0" fontId="4" fillId="0" borderId="14" xfId="0" applyNumberFormat="1" applyFont="1" applyFill="1" applyBorder="1" applyAlignment="1">
      <alignment horizontal="center" vertical="center"/>
    </xf>
    <xf numFmtId="177" fontId="0" fillId="0" borderId="5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 rotWithShape="0"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 rotWithShape="0"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63"/>
  <sheetViews>
    <sheetView zoomScale="70" zoomScaleNormal="70" topLeftCell="F1" workbookViewId="0">
      <selection activeCell="AF5" sqref="AF5"/>
    </sheetView>
  </sheetViews>
  <sheetFormatPr defaultColWidth="9" defaultRowHeight="14"/>
  <cols>
    <col min="1" max="1" width="15.3363636363636" style="1" customWidth="1"/>
    <col min="2" max="2" width="17.3363636363636" style="1" customWidth="1"/>
    <col min="3" max="3" width="14.5545454545455" style="1" customWidth="1"/>
    <col min="4" max="4" width="9" style="1"/>
    <col min="5" max="5" width="11.2181818181818" style="1" customWidth="1"/>
    <col min="6" max="30" width="9" style="1"/>
    <col min="31" max="31" width="9.55454545454545" style="1" customWidth="1"/>
    <col min="32" max="32" width="11.5545454545455" style="1" customWidth="1"/>
    <col min="33" max="33" width="9" style="1"/>
    <col min="34" max="34" width="11.1181818181818" style="1" customWidth="1"/>
    <col min="35" max="36" width="9" style="1"/>
    <col min="37" max="37" width="16.7818181818182" style="1" customWidth="1"/>
    <col min="38" max="16383" width="9" style="1"/>
  </cols>
  <sheetData>
    <row r="1" spans="1:37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>
      <c r="A2" s="3" t="s">
        <v>1</v>
      </c>
      <c r="B2" s="3" t="s">
        <v>2</v>
      </c>
      <c r="C2" s="3" t="s">
        <v>3</v>
      </c>
      <c r="D2" s="4" t="s">
        <v>4</v>
      </c>
      <c r="E2" s="5"/>
      <c r="F2" s="4" t="s">
        <v>5</v>
      </c>
      <c r="G2" s="5"/>
      <c r="H2" s="5"/>
      <c r="I2" s="5"/>
      <c r="J2" s="4" t="s">
        <v>6</v>
      </c>
      <c r="K2" s="4"/>
      <c r="L2" s="4"/>
      <c r="M2" s="4"/>
      <c r="N2" s="4"/>
      <c r="O2" s="4" t="s">
        <v>7</v>
      </c>
      <c r="P2" s="5"/>
      <c r="Q2" s="5"/>
      <c r="R2" s="4" t="s">
        <v>8</v>
      </c>
      <c r="S2" s="4"/>
      <c r="T2" s="5"/>
      <c r="U2" s="4" t="s">
        <v>9</v>
      </c>
      <c r="V2" s="4"/>
      <c r="W2" s="4"/>
      <c r="X2" s="4" t="s">
        <v>10</v>
      </c>
      <c r="Y2" s="4"/>
      <c r="Z2" s="4"/>
      <c r="AA2" s="4"/>
      <c r="AB2" s="4"/>
      <c r="AC2" s="5" t="s">
        <v>11</v>
      </c>
      <c r="AD2" s="5"/>
      <c r="AE2" s="5"/>
      <c r="AF2" s="4" t="s">
        <v>12</v>
      </c>
      <c r="AG2" s="4" t="s">
        <v>13</v>
      </c>
      <c r="AH2" s="4" t="s">
        <v>14</v>
      </c>
      <c r="AI2" s="4" t="s">
        <v>15</v>
      </c>
      <c r="AJ2" s="2" t="s">
        <v>16</v>
      </c>
      <c r="AK2" s="9" t="s">
        <v>17</v>
      </c>
    </row>
    <row r="3" spans="1:37">
      <c r="A3" s="3"/>
      <c r="B3" s="3"/>
      <c r="C3" s="3"/>
      <c r="D3" s="4" t="s">
        <v>18</v>
      </c>
      <c r="E3" s="4" t="s">
        <v>19</v>
      </c>
      <c r="F3" s="4" t="s">
        <v>20</v>
      </c>
      <c r="G3" s="4" t="s">
        <v>21</v>
      </c>
      <c r="H3" s="4"/>
      <c r="I3" s="4"/>
      <c r="J3" s="4" t="s">
        <v>22</v>
      </c>
      <c r="K3" s="5" t="s">
        <v>23</v>
      </c>
      <c r="L3" s="5"/>
      <c r="M3" s="5"/>
      <c r="N3" s="5"/>
      <c r="O3" s="3" t="s">
        <v>24</v>
      </c>
      <c r="P3" s="3" t="s">
        <v>25</v>
      </c>
      <c r="Q3" s="3" t="s">
        <v>26</v>
      </c>
      <c r="R3" s="3" t="s">
        <v>27</v>
      </c>
      <c r="S3" s="3" t="s">
        <v>28</v>
      </c>
      <c r="T3" s="3"/>
      <c r="U3" s="4"/>
      <c r="V3" s="4"/>
      <c r="W3" s="4"/>
      <c r="X3" s="3" t="s">
        <v>29</v>
      </c>
      <c r="Y3" s="3" t="s">
        <v>30</v>
      </c>
      <c r="Z3" s="3" t="s">
        <v>31</v>
      </c>
      <c r="AA3" s="3" t="s">
        <v>32</v>
      </c>
      <c r="AB3" s="3" t="s">
        <v>33</v>
      </c>
      <c r="AC3" s="3" t="s">
        <v>34</v>
      </c>
      <c r="AD3" s="3" t="s">
        <v>35</v>
      </c>
      <c r="AE3" s="3" t="s">
        <v>36</v>
      </c>
      <c r="AF3" s="4"/>
      <c r="AG3" s="4"/>
      <c r="AH3" s="4"/>
      <c r="AI3" s="4"/>
      <c r="AJ3" s="2"/>
      <c r="AK3" s="9"/>
    </row>
    <row r="4" ht="42" spans="1:37">
      <c r="A4" s="3"/>
      <c r="B4" s="3"/>
      <c r="C4" s="3"/>
      <c r="D4" s="5"/>
      <c r="E4" s="5"/>
      <c r="F4" s="5"/>
      <c r="G4" s="3" t="s">
        <v>37</v>
      </c>
      <c r="H4" s="3" t="s">
        <v>38</v>
      </c>
      <c r="I4" s="3" t="s">
        <v>39</v>
      </c>
      <c r="J4" s="5"/>
      <c r="K4" s="3" t="s">
        <v>40</v>
      </c>
      <c r="L4" s="3"/>
      <c r="M4" s="3" t="s">
        <v>41</v>
      </c>
      <c r="N4" s="3" t="s">
        <v>42</v>
      </c>
      <c r="O4" s="2"/>
      <c r="P4" s="3"/>
      <c r="Q4" s="3"/>
      <c r="R4" s="2"/>
      <c r="S4" s="3" t="s">
        <v>43</v>
      </c>
      <c r="T4" s="37" t="s">
        <v>44</v>
      </c>
      <c r="U4" s="4"/>
      <c r="V4" s="4"/>
      <c r="W4" s="4"/>
      <c r="X4" s="2"/>
      <c r="Y4" s="2"/>
      <c r="Z4" s="2"/>
      <c r="AA4" s="2"/>
      <c r="AB4" s="3"/>
      <c r="AC4" s="3"/>
      <c r="AD4" s="3"/>
      <c r="AE4" s="3"/>
      <c r="AF4" s="4"/>
      <c r="AG4" s="4"/>
      <c r="AH4" s="4"/>
      <c r="AI4" s="4"/>
      <c r="AJ4" s="2"/>
      <c r="AK4" s="9"/>
    </row>
    <row r="5" spans="1:37">
      <c r="A5" s="18">
        <v>2511410101</v>
      </c>
      <c r="B5" s="18" t="s">
        <v>45</v>
      </c>
      <c r="C5" s="18" t="s">
        <v>46</v>
      </c>
      <c r="D5" s="19">
        <v>0</v>
      </c>
      <c r="E5" s="19">
        <v>0</v>
      </c>
      <c r="F5" s="29">
        <v>0</v>
      </c>
      <c r="G5" s="33">
        <v>3</v>
      </c>
      <c r="H5" s="32">
        <v>4</v>
      </c>
      <c r="I5" s="19">
        <v>2</v>
      </c>
      <c r="J5" s="19">
        <v>0</v>
      </c>
      <c r="K5" s="19">
        <v>1.7</v>
      </c>
      <c r="L5" s="19"/>
      <c r="M5" s="19">
        <v>0</v>
      </c>
      <c r="N5" s="19">
        <v>1</v>
      </c>
      <c r="O5" s="19">
        <v>10.5</v>
      </c>
      <c r="P5" s="19">
        <v>0</v>
      </c>
      <c r="Q5" s="19">
        <v>1.6</v>
      </c>
      <c r="R5" s="19">
        <v>0</v>
      </c>
      <c r="S5" s="19">
        <v>0</v>
      </c>
      <c r="T5" s="19">
        <v>0</v>
      </c>
      <c r="U5" s="38">
        <v>5</v>
      </c>
      <c r="V5" s="38"/>
      <c r="W5" s="38"/>
      <c r="X5" s="33">
        <v>0</v>
      </c>
      <c r="Y5" s="19">
        <v>3</v>
      </c>
      <c r="Z5" s="19">
        <v>3</v>
      </c>
      <c r="AA5" s="33">
        <v>1</v>
      </c>
      <c r="AB5" s="19">
        <v>0</v>
      </c>
      <c r="AC5" s="20">
        <v>0</v>
      </c>
      <c r="AD5" s="20">
        <v>0</v>
      </c>
      <c r="AE5" s="20">
        <v>0</v>
      </c>
      <c r="AF5" s="20">
        <f>SUM(D5:AE5)</f>
        <v>35.8</v>
      </c>
      <c r="AG5" s="20">
        <f>AF5*0.3</f>
        <v>10.74</v>
      </c>
      <c r="AH5" s="25">
        <v>83.2545</v>
      </c>
      <c r="AI5" s="25">
        <f>AH5*0.7</f>
        <v>58.27815</v>
      </c>
      <c r="AJ5" s="20">
        <v>0</v>
      </c>
      <c r="AK5" s="25">
        <f>((AG5+AI5+AJ5)-0)+0</f>
        <v>69.01815</v>
      </c>
    </row>
    <row r="6" spans="1:37">
      <c r="A6" s="18">
        <v>2511410103</v>
      </c>
      <c r="B6" s="18" t="s">
        <v>47</v>
      </c>
      <c r="C6" s="18" t="s">
        <v>46</v>
      </c>
      <c r="D6" s="19">
        <v>0</v>
      </c>
      <c r="E6" s="19">
        <v>0</v>
      </c>
      <c r="F6" s="29">
        <v>0</v>
      </c>
      <c r="G6" s="33">
        <v>2</v>
      </c>
      <c r="H6" s="32">
        <v>3</v>
      </c>
      <c r="I6" s="19">
        <v>0</v>
      </c>
      <c r="J6" s="19">
        <v>3</v>
      </c>
      <c r="K6" s="39">
        <v>5</v>
      </c>
      <c r="L6" s="40"/>
      <c r="M6" s="19">
        <v>0</v>
      </c>
      <c r="N6" s="19">
        <v>2</v>
      </c>
      <c r="O6" s="19">
        <v>9</v>
      </c>
      <c r="P6" s="19">
        <v>0</v>
      </c>
      <c r="Q6" s="19">
        <v>1.2</v>
      </c>
      <c r="R6" s="19">
        <v>0</v>
      </c>
      <c r="S6" s="19">
        <v>0</v>
      </c>
      <c r="T6" s="19">
        <v>0</v>
      </c>
      <c r="U6" s="38">
        <v>5</v>
      </c>
      <c r="V6" s="38"/>
      <c r="W6" s="38"/>
      <c r="X6" s="33">
        <v>0</v>
      </c>
      <c r="Y6" s="19">
        <v>3</v>
      </c>
      <c r="Z6" s="19">
        <v>6</v>
      </c>
      <c r="AA6" s="33">
        <v>0</v>
      </c>
      <c r="AB6" s="19">
        <v>0</v>
      </c>
      <c r="AC6" s="20">
        <v>0</v>
      </c>
      <c r="AD6" s="20">
        <v>0</v>
      </c>
      <c r="AE6" s="20">
        <v>0</v>
      </c>
      <c r="AF6" s="20">
        <f t="shared" ref="AF6:AF37" si="0">SUM(D6:AE6)</f>
        <v>39.2</v>
      </c>
      <c r="AG6" s="20">
        <f t="shared" ref="AG6:AG37" si="1">AF6*0.3</f>
        <v>11.76</v>
      </c>
      <c r="AH6" s="25">
        <v>71.1091</v>
      </c>
      <c r="AI6" s="25">
        <f t="shared" ref="AI6:AI37" si="2">AH6*0.7</f>
        <v>49.77637</v>
      </c>
      <c r="AJ6" s="20">
        <v>0</v>
      </c>
      <c r="AK6" s="25">
        <f t="shared" ref="AK6:AK37" si="3">((AG6+AI6+AJ6)-0)+0</f>
        <v>61.53637</v>
      </c>
    </row>
    <row r="7" spans="1:37">
      <c r="A7" s="18">
        <v>2511410104</v>
      </c>
      <c r="B7" s="18" t="s">
        <v>48</v>
      </c>
      <c r="C7" s="18" t="s">
        <v>46</v>
      </c>
      <c r="D7" s="19">
        <v>0</v>
      </c>
      <c r="E7" s="19">
        <v>1</v>
      </c>
      <c r="F7" s="29">
        <v>2</v>
      </c>
      <c r="G7" s="33">
        <v>2</v>
      </c>
      <c r="H7" s="32">
        <v>4</v>
      </c>
      <c r="I7" s="19">
        <v>0</v>
      </c>
      <c r="J7" s="19">
        <v>3</v>
      </c>
      <c r="K7" s="39">
        <v>5</v>
      </c>
      <c r="L7" s="40"/>
      <c r="M7" s="19">
        <v>0</v>
      </c>
      <c r="N7" s="19">
        <v>2</v>
      </c>
      <c r="O7" s="19">
        <v>10.5</v>
      </c>
      <c r="P7" s="19">
        <v>0</v>
      </c>
      <c r="Q7" s="19">
        <v>1.6</v>
      </c>
      <c r="R7" s="19">
        <v>0</v>
      </c>
      <c r="S7" s="19">
        <v>0</v>
      </c>
      <c r="T7" s="19">
        <v>1</v>
      </c>
      <c r="U7" s="38">
        <v>5</v>
      </c>
      <c r="V7" s="38"/>
      <c r="W7" s="38"/>
      <c r="X7" s="33">
        <v>0</v>
      </c>
      <c r="Y7" s="19">
        <v>0</v>
      </c>
      <c r="Z7" s="19">
        <v>6</v>
      </c>
      <c r="AA7" s="33">
        <v>0</v>
      </c>
      <c r="AB7" s="19">
        <v>0</v>
      </c>
      <c r="AC7" s="20">
        <v>0</v>
      </c>
      <c r="AD7" s="20">
        <v>0</v>
      </c>
      <c r="AE7" s="20">
        <v>0</v>
      </c>
      <c r="AF7" s="20">
        <f t="shared" si="0"/>
        <v>43.1</v>
      </c>
      <c r="AG7" s="20">
        <f t="shared" si="1"/>
        <v>12.93</v>
      </c>
      <c r="AH7" s="25">
        <v>86.0909</v>
      </c>
      <c r="AI7" s="25">
        <f t="shared" si="2"/>
        <v>60.26363</v>
      </c>
      <c r="AJ7" s="20">
        <v>0.5</v>
      </c>
      <c r="AK7" s="25">
        <f t="shared" si="3"/>
        <v>73.69363</v>
      </c>
    </row>
    <row r="8" spans="1:37">
      <c r="A8" s="18">
        <v>2511410105</v>
      </c>
      <c r="B8" s="18" t="s">
        <v>49</v>
      </c>
      <c r="C8" s="18" t="s">
        <v>46</v>
      </c>
      <c r="D8" s="19">
        <v>0</v>
      </c>
      <c r="E8" s="19">
        <v>0</v>
      </c>
      <c r="F8" s="29">
        <v>4</v>
      </c>
      <c r="G8" s="33">
        <v>4</v>
      </c>
      <c r="H8" s="32">
        <v>4</v>
      </c>
      <c r="I8" s="19">
        <v>0</v>
      </c>
      <c r="J8" s="19">
        <v>3</v>
      </c>
      <c r="K8" s="39">
        <v>5</v>
      </c>
      <c r="L8" s="40"/>
      <c r="M8" s="19">
        <v>0</v>
      </c>
      <c r="N8" s="19">
        <v>2</v>
      </c>
      <c r="O8" s="19">
        <v>10.5</v>
      </c>
      <c r="P8" s="19">
        <v>0</v>
      </c>
      <c r="Q8" s="19">
        <v>1.6</v>
      </c>
      <c r="R8" s="19">
        <v>0</v>
      </c>
      <c r="S8" s="19">
        <v>0</v>
      </c>
      <c r="T8" s="19">
        <v>1</v>
      </c>
      <c r="U8" s="38">
        <v>5</v>
      </c>
      <c r="V8" s="38"/>
      <c r="W8" s="38"/>
      <c r="X8" s="33">
        <v>0</v>
      </c>
      <c r="Y8" s="19">
        <v>0</v>
      </c>
      <c r="Z8" s="19">
        <v>4</v>
      </c>
      <c r="AA8" s="33">
        <v>0</v>
      </c>
      <c r="AB8" s="19">
        <v>0.5</v>
      </c>
      <c r="AC8" s="20">
        <v>0</v>
      </c>
      <c r="AD8" s="20">
        <v>0</v>
      </c>
      <c r="AE8" s="20">
        <v>0</v>
      </c>
      <c r="AF8" s="20">
        <f t="shared" si="0"/>
        <v>44.6</v>
      </c>
      <c r="AG8" s="20">
        <f t="shared" si="1"/>
        <v>13.38</v>
      </c>
      <c r="AH8" s="25">
        <v>90.4182</v>
      </c>
      <c r="AI8" s="25">
        <f t="shared" si="2"/>
        <v>63.29274</v>
      </c>
      <c r="AJ8" s="20">
        <v>0</v>
      </c>
      <c r="AK8" s="25">
        <f t="shared" si="3"/>
        <v>76.67274</v>
      </c>
    </row>
    <row r="9" spans="1:37">
      <c r="A9" s="18">
        <v>2511410106</v>
      </c>
      <c r="B9" s="18" t="s">
        <v>50</v>
      </c>
      <c r="C9" s="18" t="s">
        <v>46</v>
      </c>
      <c r="D9" s="19">
        <v>0</v>
      </c>
      <c r="E9" s="19">
        <v>0</v>
      </c>
      <c r="F9" s="29">
        <v>0</v>
      </c>
      <c r="G9" s="33">
        <v>0</v>
      </c>
      <c r="H9" s="32">
        <v>2</v>
      </c>
      <c r="I9" s="19">
        <v>0</v>
      </c>
      <c r="J9" s="19">
        <v>0</v>
      </c>
      <c r="K9" s="39">
        <v>1.7</v>
      </c>
      <c r="L9" s="40"/>
      <c r="M9" s="19">
        <v>0</v>
      </c>
      <c r="N9" s="19">
        <v>1</v>
      </c>
      <c r="O9" s="19">
        <v>9</v>
      </c>
      <c r="P9" s="19">
        <v>0</v>
      </c>
      <c r="Q9" s="19">
        <v>1.2</v>
      </c>
      <c r="R9" s="19">
        <v>0</v>
      </c>
      <c r="S9" s="19">
        <v>0</v>
      </c>
      <c r="T9" s="19">
        <v>0</v>
      </c>
      <c r="U9" s="38">
        <v>5</v>
      </c>
      <c r="V9" s="38"/>
      <c r="W9" s="38"/>
      <c r="X9" s="33">
        <v>0</v>
      </c>
      <c r="Y9" s="19">
        <v>3</v>
      </c>
      <c r="Z9" s="19">
        <v>0</v>
      </c>
      <c r="AA9" s="33">
        <v>0</v>
      </c>
      <c r="AB9" s="19">
        <v>0</v>
      </c>
      <c r="AC9" s="20">
        <v>0</v>
      </c>
      <c r="AD9" s="20">
        <v>0</v>
      </c>
      <c r="AE9" s="20">
        <v>0</v>
      </c>
      <c r="AF9" s="20">
        <f t="shared" si="0"/>
        <v>22.9</v>
      </c>
      <c r="AG9" s="20">
        <f t="shared" si="1"/>
        <v>6.87</v>
      </c>
      <c r="AH9" s="25">
        <v>78.2</v>
      </c>
      <c r="AI9" s="25">
        <f t="shared" si="2"/>
        <v>54.74</v>
      </c>
      <c r="AJ9" s="20">
        <v>0</v>
      </c>
      <c r="AK9" s="25">
        <f t="shared" si="3"/>
        <v>61.61</v>
      </c>
    </row>
    <row r="10" spans="1:37">
      <c r="A10" s="18">
        <v>2511410107</v>
      </c>
      <c r="B10" s="18" t="s">
        <v>51</v>
      </c>
      <c r="C10" s="18" t="s">
        <v>46</v>
      </c>
      <c r="D10" s="19">
        <v>0</v>
      </c>
      <c r="E10" s="19">
        <v>0.5</v>
      </c>
      <c r="F10" s="29">
        <v>0</v>
      </c>
      <c r="G10" s="33">
        <v>0</v>
      </c>
      <c r="H10" s="32">
        <v>2</v>
      </c>
      <c r="I10" s="19">
        <v>0</v>
      </c>
      <c r="J10" s="19">
        <v>0</v>
      </c>
      <c r="K10" s="39">
        <v>0.7</v>
      </c>
      <c r="L10" s="40"/>
      <c r="M10" s="19">
        <v>0</v>
      </c>
      <c r="N10" s="19">
        <v>1</v>
      </c>
      <c r="O10" s="19">
        <v>9</v>
      </c>
      <c r="P10" s="19">
        <v>0</v>
      </c>
      <c r="Q10" s="19">
        <v>1.2</v>
      </c>
      <c r="R10" s="19">
        <v>0</v>
      </c>
      <c r="S10" s="19">
        <v>0</v>
      </c>
      <c r="T10" s="19">
        <v>0.5</v>
      </c>
      <c r="U10" s="38">
        <v>5</v>
      </c>
      <c r="V10" s="38"/>
      <c r="W10" s="38"/>
      <c r="X10" s="33">
        <v>0</v>
      </c>
      <c r="Y10" s="19">
        <v>3</v>
      </c>
      <c r="Z10" s="19">
        <v>0</v>
      </c>
      <c r="AA10" s="33">
        <v>0</v>
      </c>
      <c r="AB10" s="19">
        <v>0</v>
      </c>
      <c r="AC10" s="20">
        <v>0</v>
      </c>
      <c r="AD10" s="20">
        <v>0</v>
      </c>
      <c r="AE10" s="20">
        <v>0</v>
      </c>
      <c r="AF10" s="20">
        <f t="shared" si="0"/>
        <v>22.9</v>
      </c>
      <c r="AG10" s="20">
        <f t="shared" si="1"/>
        <v>6.87</v>
      </c>
      <c r="AH10" s="25">
        <v>68.1636</v>
      </c>
      <c r="AI10" s="25">
        <f t="shared" si="2"/>
        <v>47.71452</v>
      </c>
      <c r="AJ10" s="20">
        <v>0</v>
      </c>
      <c r="AK10" s="25">
        <f t="shared" si="3"/>
        <v>54.58452</v>
      </c>
    </row>
    <row r="11" spans="1:37">
      <c r="A11" s="18">
        <v>2511410108</v>
      </c>
      <c r="B11" s="18" t="s">
        <v>52</v>
      </c>
      <c r="C11" s="18" t="s">
        <v>46</v>
      </c>
      <c r="D11" s="19">
        <v>0</v>
      </c>
      <c r="E11" s="19">
        <v>1</v>
      </c>
      <c r="F11" s="29">
        <v>4</v>
      </c>
      <c r="G11" s="33">
        <v>6</v>
      </c>
      <c r="H11" s="32">
        <v>4</v>
      </c>
      <c r="I11" s="19">
        <v>0</v>
      </c>
      <c r="J11" s="19">
        <v>0</v>
      </c>
      <c r="K11" s="39">
        <v>2.7</v>
      </c>
      <c r="L11" s="40"/>
      <c r="M11" s="19">
        <v>0</v>
      </c>
      <c r="N11" s="19">
        <v>2</v>
      </c>
      <c r="O11" s="19">
        <v>10.5</v>
      </c>
      <c r="P11" s="19">
        <v>0</v>
      </c>
      <c r="Q11" s="19">
        <v>1.6</v>
      </c>
      <c r="R11" s="19">
        <v>0</v>
      </c>
      <c r="S11" s="19">
        <v>0</v>
      </c>
      <c r="T11" s="19">
        <v>2.5</v>
      </c>
      <c r="U11" s="38">
        <v>5</v>
      </c>
      <c r="V11" s="38"/>
      <c r="W11" s="38"/>
      <c r="X11" s="33">
        <v>0</v>
      </c>
      <c r="Y11" s="19">
        <v>5</v>
      </c>
      <c r="Z11" s="19">
        <v>6</v>
      </c>
      <c r="AA11" s="33">
        <v>1</v>
      </c>
      <c r="AB11" s="19">
        <v>0.5</v>
      </c>
      <c r="AC11" s="20">
        <v>0</v>
      </c>
      <c r="AD11" s="20">
        <v>0</v>
      </c>
      <c r="AE11" s="20">
        <v>0</v>
      </c>
      <c r="AF11" s="20">
        <f t="shared" si="0"/>
        <v>51.8</v>
      </c>
      <c r="AG11" s="20">
        <f t="shared" si="1"/>
        <v>15.54</v>
      </c>
      <c r="AH11" s="25">
        <v>92.0545</v>
      </c>
      <c r="AI11" s="25">
        <f t="shared" si="2"/>
        <v>64.43815</v>
      </c>
      <c r="AJ11" s="20">
        <v>0.25</v>
      </c>
      <c r="AK11" s="25">
        <f t="shared" si="3"/>
        <v>80.22815</v>
      </c>
    </row>
    <row r="12" spans="1:37">
      <c r="A12" s="18">
        <v>2511410109</v>
      </c>
      <c r="B12" s="18" t="s">
        <v>53</v>
      </c>
      <c r="C12" s="18" t="s">
        <v>46</v>
      </c>
      <c r="D12" s="19">
        <v>0</v>
      </c>
      <c r="E12" s="19">
        <v>0</v>
      </c>
      <c r="F12" s="29">
        <v>0</v>
      </c>
      <c r="G12" s="33">
        <v>0</v>
      </c>
      <c r="H12" s="32">
        <v>3</v>
      </c>
      <c r="I12" s="19">
        <v>0</v>
      </c>
      <c r="J12" s="19">
        <v>0</v>
      </c>
      <c r="K12" s="39">
        <v>0.7</v>
      </c>
      <c r="L12" s="40"/>
      <c r="M12" s="19">
        <v>0</v>
      </c>
      <c r="N12" s="19">
        <v>1</v>
      </c>
      <c r="O12" s="19">
        <v>10.5</v>
      </c>
      <c r="P12" s="19">
        <v>0</v>
      </c>
      <c r="Q12" s="19">
        <v>1.6</v>
      </c>
      <c r="R12" s="19">
        <v>0</v>
      </c>
      <c r="S12" s="19">
        <v>0</v>
      </c>
      <c r="T12" s="19">
        <v>0</v>
      </c>
      <c r="U12" s="38">
        <v>5</v>
      </c>
      <c r="V12" s="38"/>
      <c r="W12" s="38"/>
      <c r="X12" s="33">
        <v>0</v>
      </c>
      <c r="Y12" s="19">
        <v>5</v>
      </c>
      <c r="Z12" s="19">
        <v>6</v>
      </c>
      <c r="AA12" s="33">
        <v>0</v>
      </c>
      <c r="AB12" s="19">
        <v>0</v>
      </c>
      <c r="AC12" s="20">
        <v>0</v>
      </c>
      <c r="AD12" s="20">
        <v>0</v>
      </c>
      <c r="AE12" s="20">
        <v>0</v>
      </c>
      <c r="AF12" s="20">
        <f t="shared" si="0"/>
        <v>32.8</v>
      </c>
      <c r="AG12" s="20">
        <f t="shared" si="1"/>
        <v>9.84</v>
      </c>
      <c r="AH12" s="25">
        <v>73.4</v>
      </c>
      <c r="AI12" s="25">
        <f t="shared" si="2"/>
        <v>51.38</v>
      </c>
      <c r="AJ12" s="20">
        <v>0</v>
      </c>
      <c r="AK12" s="25">
        <f t="shared" si="3"/>
        <v>61.22</v>
      </c>
    </row>
    <row r="13" spans="1:37">
      <c r="A13" s="18">
        <v>2511410110</v>
      </c>
      <c r="B13" s="18" t="s">
        <v>54</v>
      </c>
      <c r="C13" s="18" t="s">
        <v>46</v>
      </c>
      <c r="D13" s="19">
        <v>0</v>
      </c>
      <c r="E13" s="19">
        <v>0</v>
      </c>
      <c r="F13" s="29">
        <v>2</v>
      </c>
      <c r="G13" s="33">
        <v>2</v>
      </c>
      <c r="H13" s="32">
        <v>4</v>
      </c>
      <c r="I13" s="19">
        <v>0</v>
      </c>
      <c r="J13" s="19">
        <v>3</v>
      </c>
      <c r="K13" s="39">
        <v>5</v>
      </c>
      <c r="L13" s="40"/>
      <c r="M13" s="19">
        <v>0</v>
      </c>
      <c r="N13" s="19">
        <v>2</v>
      </c>
      <c r="O13" s="19">
        <v>9</v>
      </c>
      <c r="P13" s="19">
        <v>0</v>
      </c>
      <c r="Q13" s="19">
        <v>1.2</v>
      </c>
      <c r="R13" s="19">
        <v>0</v>
      </c>
      <c r="S13" s="19">
        <v>0</v>
      </c>
      <c r="T13" s="19">
        <v>1</v>
      </c>
      <c r="U13" s="38">
        <v>5</v>
      </c>
      <c r="V13" s="38"/>
      <c r="W13" s="38"/>
      <c r="X13" s="33">
        <v>0</v>
      </c>
      <c r="Y13" s="19">
        <v>3</v>
      </c>
      <c r="Z13" s="19">
        <v>1</v>
      </c>
      <c r="AA13" s="33">
        <v>0</v>
      </c>
      <c r="AB13" s="19">
        <v>0</v>
      </c>
      <c r="AC13" s="20">
        <v>0</v>
      </c>
      <c r="AD13" s="20">
        <v>0</v>
      </c>
      <c r="AE13" s="20">
        <v>0</v>
      </c>
      <c r="AF13" s="20">
        <f t="shared" si="0"/>
        <v>38.2</v>
      </c>
      <c r="AG13" s="20">
        <f t="shared" si="1"/>
        <v>11.46</v>
      </c>
      <c r="AH13" s="25">
        <v>87.0727</v>
      </c>
      <c r="AI13" s="25">
        <f t="shared" si="2"/>
        <v>60.95089</v>
      </c>
      <c r="AJ13" s="20">
        <v>0.5</v>
      </c>
      <c r="AK13" s="25">
        <f t="shared" si="3"/>
        <v>72.91089</v>
      </c>
    </row>
    <row r="14" spans="1:37">
      <c r="A14" s="18">
        <v>2511410111</v>
      </c>
      <c r="B14" s="18" t="s">
        <v>55</v>
      </c>
      <c r="C14" s="18" t="s">
        <v>46</v>
      </c>
      <c r="D14" s="19">
        <v>0</v>
      </c>
      <c r="E14" s="19">
        <v>0</v>
      </c>
      <c r="F14" s="29">
        <v>0</v>
      </c>
      <c r="G14" s="33">
        <v>0</v>
      </c>
      <c r="H14" s="32">
        <v>3</v>
      </c>
      <c r="I14" s="19">
        <v>0</v>
      </c>
      <c r="J14" s="19">
        <v>0</v>
      </c>
      <c r="K14" s="39">
        <v>0.7</v>
      </c>
      <c r="L14" s="40"/>
      <c r="M14" s="19">
        <v>0</v>
      </c>
      <c r="N14" s="19">
        <v>1</v>
      </c>
      <c r="O14" s="19">
        <v>9</v>
      </c>
      <c r="P14" s="19">
        <v>0</v>
      </c>
      <c r="Q14" s="19">
        <v>1.2</v>
      </c>
      <c r="R14" s="19">
        <v>0</v>
      </c>
      <c r="S14" s="19">
        <v>0</v>
      </c>
      <c r="T14" s="19">
        <v>1</v>
      </c>
      <c r="U14" s="38">
        <v>5</v>
      </c>
      <c r="V14" s="38"/>
      <c r="W14" s="38"/>
      <c r="X14" s="33">
        <v>0</v>
      </c>
      <c r="Y14" s="19">
        <v>3</v>
      </c>
      <c r="Z14" s="19">
        <v>0</v>
      </c>
      <c r="AA14" s="33">
        <v>0</v>
      </c>
      <c r="AB14" s="19">
        <v>0</v>
      </c>
      <c r="AC14" s="20">
        <v>0</v>
      </c>
      <c r="AD14" s="20">
        <v>0</v>
      </c>
      <c r="AE14" s="20">
        <v>0</v>
      </c>
      <c r="AF14" s="20">
        <f t="shared" si="0"/>
        <v>23.9</v>
      </c>
      <c r="AG14" s="20">
        <f t="shared" si="1"/>
        <v>7.17</v>
      </c>
      <c r="AH14" s="25">
        <v>78.1636</v>
      </c>
      <c r="AI14" s="25">
        <f t="shared" si="2"/>
        <v>54.71452</v>
      </c>
      <c r="AJ14" s="20">
        <v>0</v>
      </c>
      <c r="AK14" s="25">
        <f t="shared" si="3"/>
        <v>61.88452</v>
      </c>
    </row>
    <row r="15" spans="1:37">
      <c r="A15" s="18">
        <v>2511410112</v>
      </c>
      <c r="B15" s="18" t="s">
        <v>56</v>
      </c>
      <c r="C15" s="18" t="s">
        <v>46</v>
      </c>
      <c r="D15" s="19">
        <v>0</v>
      </c>
      <c r="E15" s="19">
        <v>0</v>
      </c>
      <c r="F15" s="29">
        <v>0</v>
      </c>
      <c r="G15" s="33">
        <v>0</v>
      </c>
      <c r="H15" s="32">
        <v>3</v>
      </c>
      <c r="I15" s="19">
        <v>0</v>
      </c>
      <c r="J15" s="19">
        <v>0</v>
      </c>
      <c r="K15" s="39">
        <v>0.7</v>
      </c>
      <c r="L15" s="40"/>
      <c r="M15" s="19">
        <v>0</v>
      </c>
      <c r="N15" s="19">
        <v>1</v>
      </c>
      <c r="O15" s="19">
        <v>10.5</v>
      </c>
      <c r="P15" s="19">
        <v>0</v>
      </c>
      <c r="Q15" s="19">
        <v>1.6</v>
      </c>
      <c r="R15" s="19">
        <v>0</v>
      </c>
      <c r="S15" s="19">
        <v>0</v>
      </c>
      <c r="T15" s="19">
        <v>0</v>
      </c>
      <c r="U15" s="38">
        <v>5</v>
      </c>
      <c r="V15" s="38"/>
      <c r="W15" s="38"/>
      <c r="X15" s="33">
        <v>0</v>
      </c>
      <c r="Y15" s="19">
        <v>3</v>
      </c>
      <c r="Z15" s="19">
        <v>0</v>
      </c>
      <c r="AA15" s="33">
        <v>0</v>
      </c>
      <c r="AB15" s="19">
        <v>0</v>
      </c>
      <c r="AC15" s="20">
        <v>0</v>
      </c>
      <c r="AD15" s="20">
        <v>0</v>
      </c>
      <c r="AE15" s="20">
        <v>0</v>
      </c>
      <c r="AF15" s="20">
        <f t="shared" si="0"/>
        <v>24.8</v>
      </c>
      <c r="AG15" s="20">
        <f t="shared" si="1"/>
        <v>7.44</v>
      </c>
      <c r="AH15" s="25">
        <v>75.7636</v>
      </c>
      <c r="AI15" s="25">
        <f t="shared" si="2"/>
        <v>53.03452</v>
      </c>
      <c r="AJ15" s="20">
        <v>0</v>
      </c>
      <c r="AK15" s="25">
        <f t="shared" si="3"/>
        <v>60.47452</v>
      </c>
    </row>
    <row r="16" spans="1:37">
      <c r="A16" s="18">
        <v>2511410113</v>
      </c>
      <c r="B16" s="18" t="s">
        <v>57</v>
      </c>
      <c r="C16" s="18" t="s">
        <v>46</v>
      </c>
      <c r="D16" s="19">
        <v>2</v>
      </c>
      <c r="E16" s="19">
        <v>2</v>
      </c>
      <c r="F16" s="29">
        <v>2</v>
      </c>
      <c r="G16" s="33">
        <v>2</v>
      </c>
      <c r="H16" s="32">
        <v>4</v>
      </c>
      <c r="I16" s="19">
        <v>0</v>
      </c>
      <c r="J16" s="19">
        <v>0</v>
      </c>
      <c r="K16" s="39">
        <v>2.7</v>
      </c>
      <c r="L16" s="40"/>
      <c r="M16" s="19">
        <v>0</v>
      </c>
      <c r="N16" s="19">
        <v>1</v>
      </c>
      <c r="O16" s="19">
        <v>10.5</v>
      </c>
      <c r="P16" s="19">
        <v>2</v>
      </c>
      <c r="Q16" s="19">
        <v>1.6</v>
      </c>
      <c r="R16" s="19">
        <v>2</v>
      </c>
      <c r="S16" s="19">
        <v>2</v>
      </c>
      <c r="T16" s="19">
        <v>2.5</v>
      </c>
      <c r="U16" s="38">
        <v>5</v>
      </c>
      <c r="V16" s="38"/>
      <c r="W16" s="38"/>
      <c r="X16" s="33">
        <v>0</v>
      </c>
      <c r="Y16" s="19">
        <v>3</v>
      </c>
      <c r="Z16" s="19">
        <v>4</v>
      </c>
      <c r="AA16" s="33">
        <v>1</v>
      </c>
      <c r="AB16" s="19">
        <v>0</v>
      </c>
      <c r="AC16" s="20">
        <v>0</v>
      </c>
      <c r="AD16" s="20">
        <v>0</v>
      </c>
      <c r="AE16" s="20">
        <v>0</v>
      </c>
      <c r="AF16" s="20">
        <f t="shared" si="0"/>
        <v>49.3</v>
      </c>
      <c r="AG16" s="20">
        <f t="shared" si="1"/>
        <v>14.79</v>
      </c>
      <c r="AH16" s="25">
        <v>89.5091</v>
      </c>
      <c r="AI16" s="25">
        <f t="shared" si="2"/>
        <v>62.65637</v>
      </c>
      <c r="AJ16" s="20">
        <v>1.75</v>
      </c>
      <c r="AK16" s="25">
        <f t="shared" si="3"/>
        <v>79.19637</v>
      </c>
    </row>
    <row r="17" spans="1:37">
      <c r="A17" s="18">
        <v>2511410114</v>
      </c>
      <c r="B17" s="18" t="s">
        <v>58</v>
      </c>
      <c r="C17" s="18" t="s">
        <v>46</v>
      </c>
      <c r="D17" s="19">
        <v>0</v>
      </c>
      <c r="E17" s="19">
        <v>0</v>
      </c>
      <c r="F17" s="29">
        <v>0</v>
      </c>
      <c r="G17" s="33">
        <v>0</v>
      </c>
      <c r="H17" s="32">
        <v>2</v>
      </c>
      <c r="I17" s="19">
        <v>0</v>
      </c>
      <c r="J17" s="19">
        <v>0</v>
      </c>
      <c r="K17" s="39">
        <v>0.7</v>
      </c>
      <c r="L17" s="40"/>
      <c r="M17" s="19">
        <v>0</v>
      </c>
      <c r="N17" s="19">
        <v>1</v>
      </c>
      <c r="O17" s="19">
        <v>10.5</v>
      </c>
      <c r="P17" s="19">
        <v>0</v>
      </c>
      <c r="Q17" s="19">
        <v>1.6</v>
      </c>
      <c r="R17" s="19">
        <v>0</v>
      </c>
      <c r="S17" s="19">
        <v>0</v>
      </c>
      <c r="T17" s="19">
        <v>0</v>
      </c>
      <c r="U17" s="38">
        <v>5</v>
      </c>
      <c r="V17" s="38"/>
      <c r="W17" s="38"/>
      <c r="X17" s="33">
        <v>0</v>
      </c>
      <c r="Y17" s="19">
        <v>3</v>
      </c>
      <c r="Z17" s="19">
        <v>0</v>
      </c>
      <c r="AA17" s="33">
        <v>0</v>
      </c>
      <c r="AB17" s="19">
        <v>0</v>
      </c>
      <c r="AC17" s="20">
        <v>0</v>
      </c>
      <c r="AD17" s="20">
        <v>0</v>
      </c>
      <c r="AE17" s="20">
        <v>0</v>
      </c>
      <c r="AF17" s="20">
        <f t="shared" si="0"/>
        <v>23.8</v>
      </c>
      <c r="AG17" s="20">
        <f t="shared" si="1"/>
        <v>7.14</v>
      </c>
      <c r="AH17" s="25">
        <v>68.0545</v>
      </c>
      <c r="AI17" s="25">
        <f t="shared" si="2"/>
        <v>47.63815</v>
      </c>
      <c r="AJ17" s="20">
        <v>0</v>
      </c>
      <c r="AK17" s="25">
        <f t="shared" si="3"/>
        <v>54.77815</v>
      </c>
    </row>
    <row r="18" spans="1:37">
      <c r="A18" s="18">
        <v>2511410115</v>
      </c>
      <c r="B18" s="18" t="s">
        <v>59</v>
      </c>
      <c r="C18" s="18" t="s">
        <v>46</v>
      </c>
      <c r="D18" s="19">
        <v>0</v>
      </c>
      <c r="E18" s="19">
        <v>0</v>
      </c>
      <c r="F18" s="29">
        <v>0</v>
      </c>
      <c r="G18" s="33">
        <v>6</v>
      </c>
      <c r="H18" s="32">
        <v>4</v>
      </c>
      <c r="I18" s="19">
        <v>0</v>
      </c>
      <c r="J18" s="19">
        <v>0</v>
      </c>
      <c r="K18" s="39">
        <v>1.7</v>
      </c>
      <c r="L18" s="40"/>
      <c r="M18" s="19">
        <v>0</v>
      </c>
      <c r="N18" s="19">
        <v>1</v>
      </c>
      <c r="O18" s="19">
        <v>10.5</v>
      </c>
      <c r="P18" s="19">
        <v>0</v>
      </c>
      <c r="Q18" s="19">
        <v>1.6</v>
      </c>
      <c r="R18" s="19">
        <v>0</v>
      </c>
      <c r="S18" s="19">
        <v>0</v>
      </c>
      <c r="T18" s="19">
        <v>3</v>
      </c>
      <c r="U18" s="38">
        <v>5</v>
      </c>
      <c r="V18" s="38"/>
      <c r="W18" s="38"/>
      <c r="X18" s="33">
        <v>0</v>
      </c>
      <c r="Y18" s="19">
        <v>5</v>
      </c>
      <c r="Z18" s="19">
        <v>6</v>
      </c>
      <c r="AA18" s="33">
        <v>0</v>
      </c>
      <c r="AB18" s="19">
        <v>0</v>
      </c>
      <c r="AC18" s="20">
        <v>0</v>
      </c>
      <c r="AD18" s="20">
        <v>0</v>
      </c>
      <c r="AE18" s="20">
        <v>0</v>
      </c>
      <c r="AF18" s="20">
        <f t="shared" si="0"/>
        <v>43.8</v>
      </c>
      <c r="AG18" s="20">
        <f t="shared" si="1"/>
        <v>13.14</v>
      </c>
      <c r="AH18" s="25">
        <v>83.1818</v>
      </c>
      <c r="AI18" s="25">
        <f t="shared" si="2"/>
        <v>58.22726</v>
      </c>
      <c r="AJ18" s="20">
        <v>0.5</v>
      </c>
      <c r="AK18" s="25">
        <f t="shared" si="3"/>
        <v>71.86726</v>
      </c>
    </row>
    <row r="19" spans="1:37">
      <c r="A19" s="18">
        <v>2511410116</v>
      </c>
      <c r="B19" s="18" t="s">
        <v>60</v>
      </c>
      <c r="C19" s="18" t="s">
        <v>46</v>
      </c>
      <c r="D19" s="19">
        <v>0</v>
      </c>
      <c r="E19" s="19">
        <v>0</v>
      </c>
      <c r="F19" s="29">
        <v>0</v>
      </c>
      <c r="G19" s="33">
        <v>0</v>
      </c>
      <c r="H19" s="32">
        <v>3</v>
      </c>
      <c r="I19" s="19">
        <v>0</v>
      </c>
      <c r="J19" s="19">
        <v>0</v>
      </c>
      <c r="K19" s="39">
        <v>1.7</v>
      </c>
      <c r="L19" s="40"/>
      <c r="M19" s="19">
        <v>0</v>
      </c>
      <c r="N19" s="19">
        <v>1</v>
      </c>
      <c r="O19" s="19">
        <v>9</v>
      </c>
      <c r="P19" s="19">
        <v>0</v>
      </c>
      <c r="Q19" s="19">
        <v>1.2</v>
      </c>
      <c r="R19" s="19">
        <v>0</v>
      </c>
      <c r="S19" s="19">
        <v>0</v>
      </c>
      <c r="T19" s="19">
        <v>0.5</v>
      </c>
      <c r="U19" s="38">
        <v>5</v>
      </c>
      <c r="V19" s="38"/>
      <c r="W19" s="38"/>
      <c r="X19" s="33">
        <v>0</v>
      </c>
      <c r="Y19" s="19">
        <v>3</v>
      </c>
      <c r="Z19" s="19">
        <v>0</v>
      </c>
      <c r="AA19" s="33">
        <v>0</v>
      </c>
      <c r="AB19" s="19">
        <v>0</v>
      </c>
      <c r="AC19" s="20">
        <v>0</v>
      </c>
      <c r="AD19" s="20">
        <v>0</v>
      </c>
      <c r="AE19" s="20">
        <v>0</v>
      </c>
      <c r="AF19" s="20">
        <f t="shared" si="0"/>
        <v>24.4</v>
      </c>
      <c r="AG19" s="20">
        <f t="shared" si="1"/>
        <v>7.32</v>
      </c>
      <c r="AH19" s="25">
        <v>83.7273</v>
      </c>
      <c r="AI19" s="25">
        <f t="shared" si="2"/>
        <v>58.60911</v>
      </c>
      <c r="AJ19" s="20">
        <v>0</v>
      </c>
      <c r="AK19" s="25">
        <f t="shared" si="3"/>
        <v>65.92911</v>
      </c>
    </row>
    <row r="20" spans="1:37">
      <c r="A20" s="18">
        <v>2511410117</v>
      </c>
      <c r="B20" s="18" t="s">
        <v>61</v>
      </c>
      <c r="C20" s="18" t="s">
        <v>46</v>
      </c>
      <c r="D20" s="19">
        <v>0</v>
      </c>
      <c r="E20" s="19">
        <v>0</v>
      </c>
      <c r="F20" s="29">
        <v>2</v>
      </c>
      <c r="G20" s="33">
        <v>6</v>
      </c>
      <c r="H20" s="32">
        <v>4</v>
      </c>
      <c r="I20" s="19">
        <v>2</v>
      </c>
      <c r="J20" s="19">
        <v>0</v>
      </c>
      <c r="K20" s="39">
        <v>1.7</v>
      </c>
      <c r="L20" s="40"/>
      <c r="M20" s="19">
        <v>0</v>
      </c>
      <c r="N20" s="19">
        <v>1.5</v>
      </c>
      <c r="O20" s="19">
        <v>7.5</v>
      </c>
      <c r="P20" s="19">
        <v>0</v>
      </c>
      <c r="Q20" s="19">
        <v>0.8</v>
      </c>
      <c r="R20" s="19">
        <v>0</v>
      </c>
      <c r="S20" s="19">
        <v>0</v>
      </c>
      <c r="T20" s="19">
        <v>1</v>
      </c>
      <c r="U20" s="38">
        <v>5</v>
      </c>
      <c r="V20" s="38"/>
      <c r="W20" s="38"/>
      <c r="X20" s="33">
        <v>0</v>
      </c>
      <c r="Y20" s="19">
        <v>3</v>
      </c>
      <c r="Z20" s="19">
        <v>6</v>
      </c>
      <c r="AA20" s="33">
        <v>0</v>
      </c>
      <c r="AB20" s="19">
        <v>0</v>
      </c>
      <c r="AC20" s="20">
        <v>0</v>
      </c>
      <c r="AD20" s="20">
        <v>0</v>
      </c>
      <c r="AE20" s="20">
        <v>0</v>
      </c>
      <c r="AF20" s="20">
        <f t="shared" si="0"/>
        <v>40.5</v>
      </c>
      <c r="AG20" s="20">
        <f t="shared" si="1"/>
        <v>12.15</v>
      </c>
      <c r="AH20" s="25">
        <v>83.3273</v>
      </c>
      <c r="AI20" s="25">
        <f t="shared" si="2"/>
        <v>58.32911</v>
      </c>
      <c r="AJ20" s="20">
        <v>0</v>
      </c>
      <c r="AK20" s="25">
        <f t="shared" si="3"/>
        <v>70.47911</v>
      </c>
    </row>
    <row r="21" spans="1:37">
      <c r="A21" s="18">
        <v>2511410118</v>
      </c>
      <c r="B21" s="18" t="s">
        <v>62</v>
      </c>
      <c r="C21" s="18" t="s">
        <v>46</v>
      </c>
      <c r="D21" s="19">
        <v>0</v>
      </c>
      <c r="E21" s="19">
        <v>1</v>
      </c>
      <c r="F21" s="29">
        <v>2</v>
      </c>
      <c r="G21" s="33">
        <v>0</v>
      </c>
      <c r="H21" s="32">
        <v>2</v>
      </c>
      <c r="I21" s="19">
        <v>0</v>
      </c>
      <c r="J21" s="19">
        <v>0</v>
      </c>
      <c r="K21" s="39">
        <v>0.7</v>
      </c>
      <c r="L21" s="40"/>
      <c r="M21" s="19">
        <v>0</v>
      </c>
      <c r="N21" s="19">
        <v>1.5</v>
      </c>
      <c r="O21" s="19">
        <v>9</v>
      </c>
      <c r="P21" s="19">
        <v>0</v>
      </c>
      <c r="Q21" s="19">
        <v>1.2</v>
      </c>
      <c r="R21" s="19">
        <v>0</v>
      </c>
      <c r="S21" s="19">
        <v>0</v>
      </c>
      <c r="T21" s="19">
        <v>1.5</v>
      </c>
      <c r="U21" s="38">
        <v>5</v>
      </c>
      <c r="V21" s="38"/>
      <c r="W21" s="38"/>
      <c r="X21" s="33">
        <v>0</v>
      </c>
      <c r="Y21" s="19">
        <v>0</v>
      </c>
      <c r="Z21" s="19">
        <v>0</v>
      </c>
      <c r="AA21" s="33">
        <v>1</v>
      </c>
      <c r="AB21" s="19">
        <v>0</v>
      </c>
      <c r="AC21" s="20">
        <v>0</v>
      </c>
      <c r="AD21" s="20">
        <v>0</v>
      </c>
      <c r="AE21" s="20">
        <v>0</v>
      </c>
      <c r="AF21" s="20">
        <f t="shared" si="0"/>
        <v>24.9</v>
      </c>
      <c r="AG21" s="20">
        <f t="shared" si="1"/>
        <v>7.47</v>
      </c>
      <c r="AH21" s="25">
        <v>77.5091</v>
      </c>
      <c r="AI21" s="25">
        <f t="shared" si="2"/>
        <v>54.25637</v>
      </c>
      <c r="AJ21" s="20">
        <v>3</v>
      </c>
      <c r="AK21" s="25">
        <f t="shared" si="3"/>
        <v>64.72637</v>
      </c>
    </row>
    <row r="22" spans="1:37">
      <c r="A22" s="18">
        <v>2511410119</v>
      </c>
      <c r="B22" s="18" t="s">
        <v>63</v>
      </c>
      <c r="C22" s="18" t="s">
        <v>46</v>
      </c>
      <c r="D22" s="19">
        <v>0</v>
      </c>
      <c r="E22" s="19">
        <v>0</v>
      </c>
      <c r="F22" s="29">
        <v>0</v>
      </c>
      <c r="G22" s="33">
        <v>0</v>
      </c>
      <c r="H22" s="32">
        <v>3</v>
      </c>
      <c r="I22" s="19">
        <v>0</v>
      </c>
      <c r="J22" s="19">
        <v>0</v>
      </c>
      <c r="K22" s="39">
        <v>1.7</v>
      </c>
      <c r="L22" s="40"/>
      <c r="M22" s="19">
        <v>0</v>
      </c>
      <c r="N22" s="19">
        <v>1</v>
      </c>
      <c r="O22" s="19">
        <v>9</v>
      </c>
      <c r="P22" s="19">
        <v>0</v>
      </c>
      <c r="Q22" s="19">
        <v>1.2</v>
      </c>
      <c r="R22" s="19">
        <v>0</v>
      </c>
      <c r="S22" s="19">
        <v>0</v>
      </c>
      <c r="T22" s="19">
        <v>0.5</v>
      </c>
      <c r="U22" s="38">
        <v>5</v>
      </c>
      <c r="V22" s="38"/>
      <c r="W22" s="38"/>
      <c r="X22" s="33">
        <v>0</v>
      </c>
      <c r="Y22" s="19">
        <v>3</v>
      </c>
      <c r="Z22" s="19">
        <v>0</v>
      </c>
      <c r="AA22" s="33">
        <v>0</v>
      </c>
      <c r="AB22" s="19">
        <v>0</v>
      </c>
      <c r="AC22" s="20">
        <v>0</v>
      </c>
      <c r="AD22" s="20">
        <v>0</v>
      </c>
      <c r="AE22" s="20">
        <v>0</v>
      </c>
      <c r="AF22" s="20">
        <f t="shared" si="0"/>
        <v>24.4</v>
      </c>
      <c r="AG22" s="20">
        <f t="shared" si="1"/>
        <v>7.32</v>
      </c>
      <c r="AH22" s="25">
        <v>85.2909</v>
      </c>
      <c r="AI22" s="25">
        <f t="shared" si="2"/>
        <v>59.70363</v>
      </c>
      <c r="AJ22" s="20">
        <v>0</v>
      </c>
      <c r="AK22" s="25">
        <f t="shared" si="3"/>
        <v>67.02363</v>
      </c>
    </row>
    <row r="23" spans="1:37">
      <c r="A23" s="18">
        <v>2511410120</v>
      </c>
      <c r="B23" s="18" t="s">
        <v>64</v>
      </c>
      <c r="C23" s="18" t="s">
        <v>46</v>
      </c>
      <c r="D23" s="19">
        <v>0</v>
      </c>
      <c r="E23" s="19">
        <v>1</v>
      </c>
      <c r="F23" s="29">
        <v>0</v>
      </c>
      <c r="G23" s="33">
        <v>0</v>
      </c>
      <c r="H23" s="32">
        <v>3</v>
      </c>
      <c r="I23" s="19">
        <v>0</v>
      </c>
      <c r="J23" s="19">
        <v>0</v>
      </c>
      <c r="K23" s="39">
        <v>1.7</v>
      </c>
      <c r="L23" s="40"/>
      <c r="M23" s="19">
        <v>0</v>
      </c>
      <c r="N23" s="19">
        <v>1</v>
      </c>
      <c r="O23" s="19">
        <v>10.5</v>
      </c>
      <c r="P23" s="19">
        <v>0</v>
      </c>
      <c r="Q23" s="19">
        <v>1.6</v>
      </c>
      <c r="R23" s="19">
        <v>0</v>
      </c>
      <c r="S23" s="19">
        <v>0</v>
      </c>
      <c r="T23" s="19">
        <v>1</v>
      </c>
      <c r="U23" s="38">
        <v>5</v>
      </c>
      <c r="V23" s="38"/>
      <c r="W23" s="38"/>
      <c r="X23" s="33">
        <v>0</v>
      </c>
      <c r="Y23" s="19">
        <v>3</v>
      </c>
      <c r="Z23" s="19">
        <v>0</v>
      </c>
      <c r="AA23" s="33">
        <v>0</v>
      </c>
      <c r="AB23" s="19">
        <v>0</v>
      </c>
      <c r="AC23" s="20">
        <v>0</v>
      </c>
      <c r="AD23" s="20">
        <v>0</v>
      </c>
      <c r="AE23" s="20">
        <v>0</v>
      </c>
      <c r="AF23" s="20">
        <f t="shared" si="0"/>
        <v>27.8</v>
      </c>
      <c r="AG23" s="20">
        <f t="shared" si="1"/>
        <v>8.34</v>
      </c>
      <c r="AH23" s="25">
        <v>77.5455</v>
      </c>
      <c r="AI23" s="25">
        <f t="shared" si="2"/>
        <v>54.28185</v>
      </c>
      <c r="AJ23" s="20">
        <v>0</v>
      </c>
      <c r="AK23" s="25">
        <f t="shared" si="3"/>
        <v>62.62185</v>
      </c>
    </row>
    <row r="24" spans="1:37">
      <c r="A24" s="18">
        <v>2511410121</v>
      </c>
      <c r="B24" s="18" t="s">
        <v>65</v>
      </c>
      <c r="C24" s="18" t="s">
        <v>46</v>
      </c>
      <c r="D24" s="19">
        <v>0</v>
      </c>
      <c r="E24" s="19">
        <v>0</v>
      </c>
      <c r="F24" s="29">
        <v>0</v>
      </c>
      <c r="G24" s="33">
        <v>3</v>
      </c>
      <c r="H24" s="32">
        <v>2</v>
      </c>
      <c r="I24" s="19">
        <v>2</v>
      </c>
      <c r="J24" s="19">
        <v>0</v>
      </c>
      <c r="K24" s="39">
        <v>0.7</v>
      </c>
      <c r="L24" s="40"/>
      <c r="M24" s="19">
        <v>0</v>
      </c>
      <c r="N24" s="19">
        <v>1</v>
      </c>
      <c r="O24" s="19">
        <v>9</v>
      </c>
      <c r="P24" s="19">
        <v>0</v>
      </c>
      <c r="Q24" s="19">
        <v>1.2</v>
      </c>
      <c r="R24" s="19">
        <v>0</v>
      </c>
      <c r="S24" s="19">
        <v>0</v>
      </c>
      <c r="T24" s="19">
        <v>0.5</v>
      </c>
      <c r="U24" s="38">
        <v>5</v>
      </c>
      <c r="V24" s="38"/>
      <c r="W24" s="38"/>
      <c r="X24" s="33">
        <v>0</v>
      </c>
      <c r="Y24" s="19">
        <v>3</v>
      </c>
      <c r="Z24" s="19">
        <v>0</v>
      </c>
      <c r="AA24" s="33">
        <v>0</v>
      </c>
      <c r="AB24" s="19">
        <v>0</v>
      </c>
      <c r="AC24" s="20">
        <v>0</v>
      </c>
      <c r="AD24" s="20">
        <v>0</v>
      </c>
      <c r="AE24" s="20">
        <v>0</v>
      </c>
      <c r="AF24" s="20">
        <f t="shared" si="0"/>
        <v>27.4</v>
      </c>
      <c r="AG24" s="20">
        <f t="shared" si="1"/>
        <v>8.22</v>
      </c>
      <c r="AH24" s="25">
        <v>70.4182</v>
      </c>
      <c r="AI24" s="25">
        <f t="shared" si="2"/>
        <v>49.29274</v>
      </c>
      <c r="AJ24" s="20">
        <v>0</v>
      </c>
      <c r="AK24" s="25">
        <f t="shared" si="3"/>
        <v>57.51274</v>
      </c>
    </row>
    <row r="25" spans="1:37">
      <c r="A25" s="18">
        <v>2511410122</v>
      </c>
      <c r="B25" s="18" t="s">
        <v>66</v>
      </c>
      <c r="C25" s="18" t="s">
        <v>46</v>
      </c>
      <c r="D25" s="19">
        <v>0</v>
      </c>
      <c r="E25" s="19">
        <v>0.5</v>
      </c>
      <c r="F25" s="29">
        <v>0</v>
      </c>
      <c r="G25" s="33">
        <v>0</v>
      </c>
      <c r="H25" s="32">
        <v>3</v>
      </c>
      <c r="I25" s="19">
        <v>0</v>
      </c>
      <c r="J25" s="19">
        <v>0</v>
      </c>
      <c r="K25" s="39">
        <v>1.7</v>
      </c>
      <c r="L25" s="40"/>
      <c r="M25" s="19">
        <v>0</v>
      </c>
      <c r="N25" s="19">
        <v>1</v>
      </c>
      <c r="O25" s="19">
        <v>10.5</v>
      </c>
      <c r="P25" s="19">
        <v>0</v>
      </c>
      <c r="Q25" s="19">
        <v>1.6</v>
      </c>
      <c r="R25" s="19">
        <v>0</v>
      </c>
      <c r="S25" s="19">
        <v>0</v>
      </c>
      <c r="T25" s="19">
        <v>0.5</v>
      </c>
      <c r="U25" s="38">
        <v>5</v>
      </c>
      <c r="V25" s="38"/>
      <c r="W25" s="38"/>
      <c r="X25" s="33">
        <v>0</v>
      </c>
      <c r="Y25" s="19">
        <v>3</v>
      </c>
      <c r="Z25" s="19">
        <v>0</v>
      </c>
      <c r="AA25" s="33">
        <v>0</v>
      </c>
      <c r="AB25" s="19">
        <v>0</v>
      </c>
      <c r="AC25" s="20">
        <v>0</v>
      </c>
      <c r="AD25" s="20">
        <v>0</v>
      </c>
      <c r="AE25" s="20">
        <v>0</v>
      </c>
      <c r="AF25" s="20">
        <f t="shared" si="0"/>
        <v>26.8</v>
      </c>
      <c r="AG25" s="20">
        <f t="shared" si="1"/>
        <v>8.04</v>
      </c>
      <c r="AH25" s="25">
        <v>79.8727</v>
      </c>
      <c r="AI25" s="25">
        <f t="shared" si="2"/>
        <v>55.91089</v>
      </c>
      <c r="AJ25" s="20">
        <v>0</v>
      </c>
      <c r="AK25" s="25">
        <f t="shared" si="3"/>
        <v>63.95089</v>
      </c>
    </row>
    <row r="26" spans="1:37">
      <c r="A26" s="18">
        <v>2511410124</v>
      </c>
      <c r="B26" s="18" t="s">
        <v>67</v>
      </c>
      <c r="C26" s="18" t="s">
        <v>46</v>
      </c>
      <c r="D26" s="19">
        <v>2</v>
      </c>
      <c r="E26" s="19">
        <v>2</v>
      </c>
      <c r="F26" s="29">
        <v>0</v>
      </c>
      <c r="G26" s="33">
        <v>2</v>
      </c>
      <c r="H26" s="32">
        <v>3</v>
      </c>
      <c r="I26" s="19">
        <v>0</v>
      </c>
      <c r="J26" s="19">
        <v>0</v>
      </c>
      <c r="K26" s="39">
        <v>2.7</v>
      </c>
      <c r="L26" s="40"/>
      <c r="M26" s="19">
        <v>0</v>
      </c>
      <c r="N26" s="19">
        <v>1</v>
      </c>
      <c r="O26" s="19">
        <v>7.5</v>
      </c>
      <c r="P26" s="19">
        <v>2</v>
      </c>
      <c r="Q26" s="19">
        <v>0.8</v>
      </c>
      <c r="R26" s="19">
        <v>2</v>
      </c>
      <c r="S26" s="19">
        <v>2</v>
      </c>
      <c r="T26" s="26">
        <v>3</v>
      </c>
      <c r="U26" s="38">
        <v>5</v>
      </c>
      <c r="V26" s="38"/>
      <c r="W26" s="38"/>
      <c r="X26" s="33">
        <v>0</v>
      </c>
      <c r="Y26" s="19">
        <v>3</v>
      </c>
      <c r="Z26" s="19">
        <v>0</v>
      </c>
      <c r="AA26" s="33">
        <v>0</v>
      </c>
      <c r="AB26" s="19">
        <v>0</v>
      </c>
      <c r="AC26" s="20">
        <v>0</v>
      </c>
      <c r="AD26" s="20">
        <v>0</v>
      </c>
      <c r="AE26" s="20">
        <v>0</v>
      </c>
      <c r="AF26" s="20">
        <f t="shared" si="0"/>
        <v>38</v>
      </c>
      <c r="AG26" s="20">
        <f t="shared" si="1"/>
        <v>11.4</v>
      </c>
      <c r="AH26" s="25">
        <v>88.3091</v>
      </c>
      <c r="AI26" s="25">
        <f t="shared" si="2"/>
        <v>61.81637</v>
      </c>
      <c r="AJ26" s="20">
        <v>0</v>
      </c>
      <c r="AK26" s="25">
        <f t="shared" si="3"/>
        <v>73.21637</v>
      </c>
    </row>
    <row r="27" spans="1:37">
      <c r="A27" s="18">
        <v>2511410125</v>
      </c>
      <c r="B27" s="18" t="s">
        <v>68</v>
      </c>
      <c r="C27" s="18" t="s">
        <v>46</v>
      </c>
      <c r="D27" s="19">
        <v>0</v>
      </c>
      <c r="E27" s="19">
        <v>0</v>
      </c>
      <c r="F27" s="29">
        <v>0</v>
      </c>
      <c r="G27" s="33">
        <v>3</v>
      </c>
      <c r="H27" s="32">
        <v>2</v>
      </c>
      <c r="I27" s="19">
        <v>0</v>
      </c>
      <c r="J27" s="19">
        <v>0</v>
      </c>
      <c r="K27" s="39">
        <v>1.7</v>
      </c>
      <c r="L27" s="40"/>
      <c r="M27" s="19">
        <v>0</v>
      </c>
      <c r="N27" s="19">
        <v>1</v>
      </c>
      <c r="O27" s="19">
        <v>9</v>
      </c>
      <c r="P27" s="19">
        <v>0</v>
      </c>
      <c r="Q27" s="19">
        <v>1.2</v>
      </c>
      <c r="R27" s="19">
        <v>0</v>
      </c>
      <c r="S27" s="19">
        <v>0</v>
      </c>
      <c r="T27" s="19">
        <v>0.5</v>
      </c>
      <c r="U27" s="38">
        <v>5</v>
      </c>
      <c r="V27" s="38"/>
      <c r="W27" s="38"/>
      <c r="X27" s="33">
        <v>0</v>
      </c>
      <c r="Y27" s="19">
        <v>3</v>
      </c>
      <c r="Z27" s="19">
        <v>0</v>
      </c>
      <c r="AA27" s="33">
        <v>0</v>
      </c>
      <c r="AB27" s="19">
        <v>1</v>
      </c>
      <c r="AC27" s="20">
        <v>0</v>
      </c>
      <c r="AD27" s="20">
        <v>0</v>
      </c>
      <c r="AE27" s="20">
        <v>0</v>
      </c>
      <c r="AF27" s="20">
        <f t="shared" si="0"/>
        <v>27.4</v>
      </c>
      <c r="AG27" s="20">
        <f t="shared" si="1"/>
        <v>8.22</v>
      </c>
      <c r="AH27" s="25">
        <v>76.0545</v>
      </c>
      <c r="AI27" s="25">
        <f t="shared" si="2"/>
        <v>53.23815</v>
      </c>
      <c r="AJ27" s="20">
        <v>0</v>
      </c>
      <c r="AK27" s="25">
        <f t="shared" si="3"/>
        <v>61.45815</v>
      </c>
    </row>
    <row r="28" spans="1:37">
      <c r="A28" s="18">
        <v>2511410126</v>
      </c>
      <c r="B28" s="18" t="s">
        <v>69</v>
      </c>
      <c r="C28" s="18" t="s">
        <v>46</v>
      </c>
      <c r="D28" s="19">
        <v>0</v>
      </c>
      <c r="E28" s="19">
        <v>0</v>
      </c>
      <c r="F28" s="29">
        <v>0</v>
      </c>
      <c r="G28" s="33">
        <v>2</v>
      </c>
      <c r="H28" s="32">
        <v>3</v>
      </c>
      <c r="I28" s="19">
        <v>0</v>
      </c>
      <c r="J28" s="19">
        <v>3</v>
      </c>
      <c r="K28" s="39">
        <v>5</v>
      </c>
      <c r="L28" s="40"/>
      <c r="M28" s="19">
        <v>0</v>
      </c>
      <c r="N28" s="19">
        <v>2</v>
      </c>
      <c r="O28" s="19">
        <v>7.5</v>
      </c>
      <c r="P28" s="19">
        <v>0</v>
      </c>
      <c r="Q28" s="19">
        <v>0.8</v>
      </c>
      <c r="R28" s="19">
        <v>0</v>
      </c>
      <c r="S28" s="19">
        <v>0</v>
      </c>
      <c r="T28" s="19">
        <v>1</v>
      </c>
      <c r="U28" s="38">
        <v>5</v>
      </c>
      <c r="V28" s="38"/>
      <c r="W28" s="38"/>
      <c r="X28" s="33">
        <v>0</v>
      </c>
      <c r="Y28" s="19">
        <v>3</v>
      </c>
      <c r="Z28" s="19">
        <v>0</v>
      </c>
      <c r="AA28" s="33">
        <v>0</v>
      </c>
      <c r="AB28" s="19">
        <v>0</v>
      </c>
      <c r="AC28" s="20">
        <v>0</v>
      </c>
      <c r="AD28" s="20">
        <v>0</v>
      </c>
      <c r="AE28" s="20">
        <v>0</v>
      </c>
      <c r="AF28" s="20">
        <f t="shared" si="0"/>
        <v>32.3</v>
      </c>
      <c r="AG28" s="20">
        <f t="shared" si="1"/>
        <v>9.69</v>
      </c>
      <c r="AH28" s="25">
        <v>88.7091</v>
      </c>
      <c r="AI28" s="25">
        <f t="shared" si="2"/>
        <v>62.09637</v>
      </c>
      <c r="AJ28" s="20">
        <v>0</v>
      </c>
      <c r="AK28" s="25">
        <f t="shared" si="3"/>
        <v>71.78637</v>
      </c>
    </row>
    <row r="29" spans="1:37">
      <c r="A29" s="18">
        <v>2511410127</v>
      </c>
      <c r="B29" s="18" t="s">
        <v>70</v>
      </c>
      <c r="C29" s="18" t="s">
        <v>46</v>
      </c>
      <c r="D29" s="19">
        <v>0</v>
      </c>
      <c r="E29" s="19">
        <v>0</v>
      </c>
      <c r="F29" s="29">
        <v>2</v>
      </c>
      <c r="G29" s="33">
        <v>6</v>
      </c>
      <c r="H29" s="32">
        <v>4</v>
      </c>
      <c r="I29" s="19">
        <v>0</v>
      </c>
      <c r="J29" s="19">
        <v>0</v>
      </c>
      <c r="K29" s="39">
        <v>2.7</v>
      </c>
      <c r="L29" s="40"/>
      <c r="M29" s="19">
        <v>0</v>
      </c>
      <c r="N29" s="19">
        <v>2</v>
      </c>
      <c r="O29" s="19">
        <v>7.5</v>
      </c>
      <c r="P29" s="19">
        <v>0</v>
      </c>
      <c r="Q29" s="19">
        <v>0.8</v>
      </c>
      <c r="R29" s="19">
        <v>0</v>
      </c>
      <c r="S29" s="19">
        <v>0</v>
      </c>
      <c r="T29" s="19">
        <v>1</v>
      </c>
      <c r="U29" s="38">
        <v>5</v>
      </c>
      <c r="V29" s="38"/>
      <c r="W29" s="38"/>
      <c r="X29" s="33">
        <v>0</v>
      </c>
      <c r="Y29" s="19">
        <v>0</v>
      </c>
      <c r="Z29" s="19">
        <v>0</v>
      </c>
      <c r="AA29" s="33">
        <v>0</v>
      </c>
      <c r="AB29" s="19">
        <v>8</v>
      </c>
      <c r="AC29" s="20">
        <v>0</v>
      </c>
      <c r="AD29" s="20">
        <v>0</v>
      </c>
      <c r="AE29" s="20">
        <v>0</v>
      </c>
      <c r="AF29" s="20">
        <f t="shared" si="0"/>
        <v>39</v>
      </c>
      <c r="AG29" s="20">
        <f t="shared" si="1"/>
        <v>11.7</v>
      </c>
      <c r="AH29" s="25">
        <v>86.2727</v>
      </c>
      <c r="AI29" s="25">
        <f t="shared" si="2"/>
        <v>60.39089</v>
      </c>
      <c r="AJ29" s="20">
        <v>0</v>
      </c>
      <c r="AK29" s="25">
        <f t="shared" si="3"/>
        <v>72.09089</v>
      </c>
    </row>
    <row r="30" spans="1:37">
      <c r="A30" s="18">
        <v>2511410128</v>
      </c>
      <c r="B30" s="18" t="s">
        <v>71</v>
      </c>
      <c r="C30" s="18" t="s">
        <v>46</v>
      </c>
      <c r="D30" s="19">
        <v>0</v>
      </c>
      <c r="E30" s="19">
        <v>0</v>
      </c>
      <c r="F30" s="29">
        <v>0</v>
      </c>
      <c r="G30" s="33">
        <v>0</v>
      </c>
      <c r="H30" s="32">
        <v>2</v>
      </c>
      <c r="I30" s="19">
        <v>0</v>
      </c>
      <c r="J30" s="19">
        <v>0</v>
      </c>
      <c r="K30" s="39">
        <v>1.7</v>
      </c>
      <c r="L30" s="40"/>
      <c r="M30" s="19">
        <v>0</v>
      </c>
      <c r="N30" s="19">
        <v>1</v>
      </c>
      <c r="O30" s="19">
        <v>9</v>
      </c>
      <c r="P30" s="19">
        <v>0</v>
      </c>
      <c r="Q30" s="19">
        <v>1.2</v>
      </c>
      <c r="R30" s="19">
        <v>0</v>
      </c>
      <c r="S30" s="19">
        <v>0</v>
      </c>
      <c r="T30" s="19">
        <v>0.5</v>
      </c>
      <c r="U30" s="38">
        <v>5</v>
      </c>
      <c r="V30" s="38"/>
      <c r="W30" s="38"/>
      <c r="X30" s="33">
        <v>0</v>
      </c>
      <c r="Y30" s="19">
        <v>3</v>
      </c>
      <c r="Z30" s="19">
        <v>0</v>
      </c>
      <c r="AA30" s="33">
        <v>0</v>
      </c>
      <c r="AB30" s="19">
        <v>0</v>
      </c>
      <c r="AC30" s="20">
        <v>0</v>
      </c>
      <c r="AD30" s="20">
        <v>0</v>
      </c>
      <c r="AE30" s="20">
        <v>0</v>
      </c>
      <c r="AF30" s="20">
        <f t="shared" si="0"/>
        <v>23.4</v>
      </c>
      <c r="AG30" s="20">
        <f t="shared" si="1"/>
        <v>7.02</v>
      </c>
      <c r="AH30" s="25">
        <v>70.0909</v>
      </c>
      <c r="AI30" s="25">
        <f t="shared" si="2"/>
        <v>49.06363</v>
      </c>
      <c r="AJ30" s="20">
        <v>0</v>
      </c>
      <c r="AK30" s="25">
        <f t="shared" si="3"/>
        <v>56.08363</v>
      </c>
    </row>
    <row r="31" spans="1:37">
      <c r="A31" s="18">
        <v>2511410129</v>
      </c>
      <c r="B31" s="18" t="s">
        <v>72</v>
      </c>
      <c r="C31" s="18" t="s">
        <v>46</v>
      </c>
      <c r="D31" s="19">
        <v>0</v>
      </c>
      <c r="E31" s="19">
        <v>0</v>
      </c>
      <c r="F31" s="29">
        <v>0</v>
      </c>
      <c r="G31" s="33">
        <v>0</v>
      </c>
      <c r="H31" s="32">
        <v>2</v>
      </c>
      <c r="I31" s="19">
        <v>0</v>
      </c>
      <c r="J31" s="19">
        <v>0</v>
      </c>
      <c r="K31" s="39">
        <v>0.7</v>
      </c>
      <c r="L31" s="40"/>
      <c r="M31" s="19">
        <v>0</v>
      </c>
      <c r="N31" s="19">
        <v>1</v>
      </c>
      <c r="O31" s="19">
        <v>10.5</v>
      </c>
      <c r="P31" s="19">
        <v>0</v>
      </c>
      <c r="Q31" s="19">
        <v>1.6</v>
      </c>
      <c r="R31" s="19">
        <v>0</v>
      </c>
      <c r="S31" s="19">
        <v>0</v>
      </c>
      <c r="T31" s="19">
        <v>0</v>
      </c>
      <c r="U31" s="41">
        <v>5</v>
      </c>
      <c r="V31" s="42"/>
      <c r="W31" s="43"/>
      <c r="X31" s="33">
        <v>0</v>
      </c>
      <c r="Y31" s="19">
        <v>3</v>
      </c>
      <c r="Z31" s="19">
        <v>3</v>
      </c>
      <c r="AA31" s="33">
        <v>0</v>
      </c>
      <c r="AB31" s="19">
        <v>0</v>
      </c>
      <c r="AC31" s="20">
        <v>0</v>
      </c>
      <c r="AD31" s="20">
        <v>0</v>
      </c>
      <c r="AE31" s="20">
        <v>0</v>
      </c>
      <c r="AF31" s="20">
        <f t="shared" si="0"/>
        <v>26.8</v>
      </c>
      <c r="AG31" s="20">
        <f t="shared" si="1"/>
        <v>8.04</v>
      </c>
      <c r="AH31" s="25">
        <v>70.1636</v>
      </c>
      <c r="AI31" s="25">
        <f t="shared" si="2"/>
        <v>49.11452</v>
      </c>
      <c r="AJ31" s="20">
        <v>0</v>
      </c>
      <c r="AK31" s="25">
        <f t="shared" si="3"/>
        <v>57.15452</v>
      </c>
    </row>
    <row r="32" spans="1:37">
      <c r="A32" s="18">
        <v>2511410130</v>
      </c>
      <c r="B32" s="18" t="s">
        <v>73</v>
      </c>
      <c r="C32" s="18" t="s">
        <v>46</v>
      </c>
      <c r="D32" s="19">
        <v>0</v>
      </c>
      <c r="E32" s="19">
        <v>2</v>
      </c>
      <c r="F32" s="29">
        <v>0</v>
      </c>
      <c r="G32" s="33">
        <v>2</v>
      </c>
      <c r="H32" s="32">
        <v>3</v>
      </c>
      <c r="I32" s="19">
        <v>0</v>
      </c>
      <c r="J32" s="19">
        <v>3</v>
      </c>
      <c r="K32" s="39">
        <v>5</v>
      </c>
      <c r="L32" s="40"/>
      <c r="M32" s="19">
        <v>0</v>
      </c>
      <c r="N32" s="19">
        <v>2</v>
      </c>
      <c r="O32" s="19">
        <v>9</v>
      </c>
      <c r="P32" s="19">
        <v>0</v>
      </c>
      <c r="Q32" s="19">
        <v>1.2</v>
      </c>
      <c r="R32" s="19">
        <v>0</v>
      </c>
      <c r="S32" s="19">
        <v>0</v>
      </c>
      <c r="T32" s="19">
        <v>1.5</v>
      </c>
      <c r="U32" s="38">
        <v>5</v>
      </c>
      <c r="V32" s="38"/>
      <c r="W32" s="38"/>
      <c r="X32" s="33">
        <v>0</v>
      </c>
      <c r="Y32" s="19">
        <v>3</v>
      </c>
      <c r="Z32" s="19">
        <v>6</v>
      </c>
      <c r="AA32" s="33">
        <v>0</v>
      </c>
      <c r="AB32" s="19">
        <v>0</v>
      </c>
      <c r="AC32" s="20">
        <v>0</v>
      </c>
      <c r="AD32" s="20">
        <v>0</v>
      </c>
      <c r="AE32" s="20">
        <v>0</v>
      </c>
      <c r="AF32" s="20">
        <f t="shared" si="0"/>
        <v>42.7</v>
      </c>
      <c r="AG32" s="20">
        <f t="shared" si="1"/>
        <v>12.81</v>
      </c>
      <c r="AH32" s="25">
        <v>86.0909</v>
      </c>
      <c r="AI32" s="25">
        <f t="shared" si="2"/>
        <v>60.26363</v>
      </c>
      <c r="AJ32" s="20">
        <v>2</v>
      </c>
      <c r="AK32" s="25">
        <f t="shared" si="3"/>
        <v>75.07363</v>
      </c>
    </row>
    <row r="33" spans="1:38">
      <c r="A33" s="18">
        <v>2511410201</v>
      </c>
      <c r="B33" s="18" t="s">
        <v>74</v>
      </c>
      <c r="C33" s="18" t="s">
        <v>75</v>
      </c>
      <c r="D33" s="19">
        <v>0</v>
      </c>
      <c r="E33" s="19">
        <v>0</v>
      </c>
      <c r="F33" s="29">
        <v>0</v>
      </c>
      <c r="G33" s="33">
        <v>0</v>
      </c>
      <c r="H33" s="32">
        <v>3</v>
      </c>
      <c r="I33" s="19">
        <v>0</v>
      </c>
      <c r="J33" s="19">
        <v>0</v>
      </c>
      <c r="K33" s="39">
        <v>1.3</v>
      </c>
      <c r="L33" s="40"/>
      <c r="M33" s="19">
        <v>0</v>
      </c>
      <c r="N33" s="19">
        <v>0</v>
      </c>
      <c r="O33" s="19">
        <v>9</v>
      </c>
      <c r="P33" s="19">
        <v>0</v>
      </c>
      <c r="Q33" s="19">
        <v>1.2</v>
      </c>
      <c r="R33" s="19">
        <v>0</v>
      </c>
      <c r="S33" s="19">
        <v>0</v>
      </c>
      <c r="T33" s="19">
        <v>0</v>
      </c>
      <c r="U33" s="38">
        <v>5</v>
      </c>
      <c r="V33" s="38"/>
      <c r="W33" s="38"/>
      <c r="X33" s="33">
        <v>0</v>
      </c>
      <c r="Y33" s="19">
        <v>5</v>
      </c>
      <c r="Z33" s="19">
        <v>0.5</v>
      </c>
      <c r="AA33" s="33">
        <v>0</v>
      </c>
      <c r="AB33" s="19">
        <v>0.5</v>
      </c>
      <c r="AC33" s="20">
        <v>0</v>
      </c>
      <c r="AD33" s="20">
        <v>0</v>
      </c>
      <c r="AE33" s="20">
        <v>0</v>
      </c>
      <c r="AF33" s="20">
        <f t="shared" si="0"/>
        <v>25.5</v>
      </c>
      <c r="AG33" s="20">
        <f t="shared" si="1"/>
        <v>7.65</v>
      </c>
      <c r="AH33" s="25">
        <v>85.5091</v>
      </c>
      <c r="AI33" s="25">
        <f t="shared" si="2"/>
        <v>59.85637</v>
      </c>
      <c r="AJ33" s="20">
        <v>0</v>
      </c>
      <c r="AK33" s="25">
        <f t="shared" si="3"/>
        <v>67.50637</v>
      </c>
    </row>
    <row r="34" spans="1:38">
      <c r="A34" s="18">
        <v>2511410202</v>
      </c>
      <c r="B34" s="18" t="s">
        <v>76</v>
      </c>
      <c r="C34" s="18" t="s">
        <v>75</v>
      </c>
      <c r="D34" s="19">
        <v>4</v>
      </c>
      <c r="E34" s="19">
        <v>2</v>
      </c>
      <c r="F34" s="29">
        <v>0</v>
      </c>
      <c r="G34" s="19">
        <v>3</v>
      </c>
      <c r="H34" s="32">
        <v>3</v>
      </c>
      <c r="I34" s="19">
        <v>0</v>
      </c>
      <c r="J34" s="19">
        <v>0</v>
      </c>
      <c r="K34" s="39">
        <v>1.3</v>
      </c>
      <c r="L34" s="40"/>
      <c r="M34" s="19">
        <v>0</v>
      </c>
      <c r="N34" s="19">
        <v>0</v>
      </c>
      <c r="O34" s="19">
        <v>10.5</v>
      </c>
      <c r="P34" s="19">
        <v>2</v>
      </c>
      <c r="Q34" s="19">
        <v>1.6</v>
      </c>
      <c r="R34" s="19">
        <v>2</v>
      </c>
      <c r="S34" s="19">
        <v>3</v>
      </c>
      <c r="T34" s="19">
        <v>3</v>
      </c>
      <c r="U34" s="38">
        <v>5</v>
      </c>
      <c r="V34" s="38"/>
      <c r="W34" s="38"/>
      <c r="X34" s="33">
        <v>0</v>
      </c>
      <c r="Y34" s="19">
        <v>5</v>
      </c>
      <c r="Z34" s="19">
        <v>6</v>
      </c>
      <c r="AA34" s="33">
        <v>0</v>
      </c>
      <c r="AB34" s="19">
        <v>0.5</v>
      </c>
      <c r="AC34" s="20">
        <v>0</v>
      </c>
      <c r="AD34" s="20">
        <v>0</v>
      </c>
      <c r="AE34" s="20">
        <v>0</v>
      </c>
      <c r="AF34" s="20">
        <f t="shared" si="0"/>
        <v>51.9</v>
      </c>
      <c r="AG34" s="20">
        <f t="shared" si="1"/>
        <v>15.57</v>
      </c>
      <c r="AH34" s="25">
        <v>77</v>
      </c>
      <c r="AI34" s="25">
        <f t="shared" si="2"/>
        <v>53.9</v>
      </c>
      <c r="AJ34" s="20">
        <v>1</v>
      </c>
      <c r="AK34" s="25">
        <f t="shared" si="3"/>
        <v>70.47</v>
      </c>
    </row>
    <row r="35" spans="1:38">
      <c r="A35" s="18">
        <v>2511410203</v>
      </c>
      <c r="B35" s="18" t="s">
        <v>77</v>
      </c>
      <c r="C35" s="18" t="s">
        <v>75</v>
      </c>
      <c r="D35" s="19">
        <v>4</v>
      </c>
      <c r="E35" s="19">
        <v>2</v>
      </c>
      <c r="F35" s="29">
        <v>0</v>
      </c>
      <c r="G35" s="19">
        <v>3</v>
      </c>
      <c r="H35" s="32">
        <v>3</v>
      </c>
      <c r="I35" s="19">
        <v>0</v>
      </c>
      <c r="J35" s="19">
        <v>0</v>
      </c>
      <c r="K35" s="39">
        <v>1.3</v>
      </c>
      <c r="L35" s="40"/>
      <c r="M35" s="19">
        <v>0</v>
      </c>
      <c r="N35" s="19">
        <v>0</v>
      </c>
      <c r="O35" s="19">
        <v>10.5</v>
      </c>
      <c r="P35" s="19">
        <v>2</v>
      </c>
      <c r="Q35" s="19">
        <v>1.6</v>
      </c>
      <c r="R35" s="19">
        <v>2</v>
      </c>
      <c r="S35" s="19">
        <v>3</v>
      </c>
      <c r="T35" s="19">
        <v>3</v>
      </c>
      <c r="U35" s="38">
        <v>5</v>
      </c>
      <c r="V35" s="38"/>
      <c r="W35" s="38"/>
      <c r="X35" s="33">
        <v>0</v>
      </c>
      <c r="Y35" s="19">
        <v>5</v>
      </c>
      <c r="Z35" s="19">
        <v>2.5</v>
      </c>
      <c r="AA35" s="33">
        <v>0</v>
      </c>
      <c r="AB35" s="19">
        <v>0.5</v>
      </c>
      <c r="AC35" s="20">
        <v>0</v>
      </c>
      <c r="AD35" s="20">
        <v>0</v>
      </c>
      <c r="AE35" s="20">
        <v>0</v>
      </c>
      <c r="AF35" s="20">
        <f t="shared" si="0"/>
        <v>48.4</v>
      </c>
      <c r="AG35" s="20">
        <f t="shared" si="1"/>
        <v>14.52</v>
      </c>
      <c r="AH35" s="25">
        <v>67.7273</v>
      </c>
      <c r="AI35" s="25">
        <f t="shared" si="2"/>
        <v>47.40911</v>
      </c>
      <c r="AJ35" s="20">
        <v>0</v>
      </c>
      <c r="AK35" s="25">
        <f t="shared" si="3"/>
        <v>61.92911</v>
      </c>
    </row>
    <row r="36" spans="1:38">
      <c r="A36" s="18">
        <v>2511410204</v>
      </c>
      <c r="B36" s="18" t="s">
        <v>78</v>
      </c>
      <c r="C36" s="18" t="s">
        <v>75</v>
      </c>
      <c r="D36" s="19">
        <v>4</v>
      </c>
      <c r="E36" s="19">
        <v>2</v>
      </c>
      <c r="F36" s="29">
        <v>0</v>
      </c>
      <c r="G36" s="19">
        <v>3</v>
      </c>
      <c r="H36" s="32">
        <v>2</v>
      </c>
      <c r="I36" s="19">
        <v>0</v>
      </c>
      <c r="J36" s="19">
        <v>0</v>
      </c>
      <c r="K36" s="39">
        <v>2.3</v>
      </c>
      <c r="L36" s="40"/>
      <c r="M36" s="19">
        <v>0</v>
      </c>
      <c r="N36" s="19">
        <v>0</v>
      </c>
      <c r="O36" s="19">
        <v>10.5</v>
      </c>
      <c r="P36" s="19">
        <v>2</v>
      </c>
      <c r="Q36" s="19">
        <v>1.6</v>
      </c>
      <c r="R36" s="19">
        <v>2</v>
      </c>
      <c r="S36" s="19">
        <v>3</v>
      </c>
      <c r="T36" s="19">
        <v>3</v>
      </c>
      <c r="U36" s="38">
        <v>5</v>
      </c>
      <c r="V36" s="38"/>
      <c r="W36" s="38"/>
      <c r="X36" s="33">
        <v>0</v>
      </c>
      <c r="Y36" s="19">
        <v>5</v>
      </c>
      <c r="Z36" s="19">
        <v>6</v>
      </c>
      <c r="AA36" s="33">
        <v>0</v>
      </c>
      <c r="AB36" s="19">
        <v>0.5</v>
      </c>
      <c r="AC36" s="20">
        <v>0</v>
      </c>
      <c r="AD36" s="20">
        <v>0</v>
      </c>
      <c r="AE36" s="20">
        <v>0</v>
      </c>
      <c r="AF36" s="20">
        <f t="shared" si="0"/>
        <v>51.9</v>
      </c>
      <c r="AG36" s="20">
        <f t="shared" si="1"/>
        <v>15.57</v>
      </c>
      <c r="AH36" s="25">
        <v>80.3091</v>
      </c>
      <c r="AI36" s="25">
        <f t="shared" si="2"/>
        <v>56.21637</v>
      </c>
      <c r="AJ36" s="20">
        <v>0.25</v>
      </c>
      <c r="AK36" s="25">
        <f t="shared" si="3"/>
        <v>72.03637</v>
      </c>
    </row>
    <row r="37" spans="1:38">
      <c r="A37" s="18">
        <v>2511410205</v>
      </c>
      <c r="B37" s="18" t="s">
        <v>79</v>
      </c>
      <c r="C37" s="18" t="s">
        <v>75</v>
      </c>
      <c r="D37" s="19">
        <v>0</v>
      </c>
      <c r="E37" s="19">
        <v>0</v>
      </c>
      <c r="F37" s="29">
        <v>2</v>
      </c>
      <c r="G37" s="33">
        <v>3</v>
      </c>
      <c r="H37" s="32">
        <v>4</v>
      </c>
      <c r="I37" s="19">
        <v>2</v>
      </c>
      <c r="J37" s="19">
        <v>0</v>
      </c>
      <c r="K37" s="39">
        <v>2.3</v>
      </c>
      <c r="L37" s="40"/>
      <c r="M37" s="19">
        <v>0</v>
      </c>
      <c r="N37" s="19">
        <v>0</v>
      </c>
      <c r="O37" s="19">
        <v>9</v>
      </c>
      <c r="P37" s="19">
        <v>0</v>
      </c>
      <c r="Q37" s="19">
        <v>1.2</v>
      </c>
      <c r="R37" s="19">
        <v>0</v>
      </c>
      <c r="S37" s="19">
        <v>0</v>
      </c>
      <c r="T37" s="19">
        <v>0</v>
      </c>
      <c r="U37" s="38">
        <v>5</v>
      </c>
      <c r="V37" s="38"/>
      <c r="W37" s="38"/>
      <c r="X37" s="33">
        <v>0</v>
      </c>
      <c r="Y37" s="19">
        <v>5</v>
      </c>
      <c r="Z37" s="19">
        <v>3.5</v>
      </c>
      <c r="AA37" s="33">
        <v>0</v>
      </c>
      <c r="AB37" s="19">
        <v>0.5</v>
      </c>
      <c r="AC37" s="20">
        <v>0</v>
      </c>
      <c r="AD37" s="20">
        <v>0</v>
      </c>
      <c r="AE37" s="20">
        <v>0</v>
      </c>
      <c r="AF37" s="20">
        <f t="shared" si="0"/>
        <v>37.5</v>
      </c>
      <c r="AG37" s="20">
        <f t="shared" si="1"/>
        <v>11.25</v>
      </c>
      <c r="AH37" s="25">
        <v>92.0909</v>
      </c>
      <c r="AI37" s="25">
        <f t="shared" si="2"/>
        <v>64.46363</v>
      </c>
      <c r="AJ37" s="20">
        <v>0</v>
      </c>
      <c r="AK37" s="25">
        <f t="shared" si="3"/>
        <v>75.71363</v>
      </c>
    </row>
    <row r="38" spans="1:38">
      <c r="A38" s="18">
        <v>2511410206</v>
      </c>
      <c r="B38" s="18" t="s">
        <v>80</v>
      </c>
      <c r="C38" s="18" t="s">
        <v>75</v>
      </c>
      <c r="D38" s="19">
        <v>0</v>
      </c>
      <c r="E38" s="19">
        <v>0</v>
      </c>
      <c r="F38" s="29">
        <v>0</v>
      </c>
      <c r="G38" s="33">
        <v>0</v>
      </c>
      <c r="H38" s="32">
        <v>4</v>
      </c>
      <c r="I38" s="19">
        <v>0</v>
      </c>
      <c r="J38" s="19">
        <v>0</v>
      </c>
      <c r="K38" s="39">
        <v>2.3</v>
      </c>
      <c r="L38" s="40"/>
      <c r="M38" s="19">
        <v>0</v>
      </c>
      <c r="N38" s="19">
        <v>0</v>
      </c>
      <c r="O38" s="19">
        <v>9</v>
      </c>
      <c r="P38" s="19">
        <v>0</v>
      </c>
      <c r="Q38" s="19">
        <v>1.2</v>
      </c>
      <c r="R38" s="19">
        <v>0</v>
      </c>
      <c r="S38" s="19">
        <v>0</v>
      </c>
      <c r="T38" s="19">
        <v>0</v>
      </c>
      <c r="U38" s="38">
        <v>5</v>
      </c>
      <c r="V38" s="38"/>
      <c r="W38" s="38"/>
      <c r="X38" s="33">
        <v>0</v>
      </c>
      <c r="Y38" s="19">
        <v>5</v>
      </c>
      <c r="Z38" s="19">
        <v>4</v>
      </c>
      <c r="AA38" s="33">
        <v>0</v>
      </c>
      <c r="AB38" s="19">
        <v>0</v>
      </c>
      <c r="AC38" s="20">
        <v>0</v>
      </c>
      <c r="AD38" s="20">
        <v>0</v>
      </c>
      <c r="AE38" s="20">
        <v>0</v>
      </c>
      <c r="AF38" s="20">
        <f t="shared" ref="AF38:AF61" si="4">SUM(D38:AE38)</f>
        <v>30.5</v>
      </c>
      <c r="AG38" s="20">
        <f t="shared" ref="AG38:AG61" si="5">AF38*0.3</f>
        <v>9.15</v>
      </c>
      <c r="AH38" s="25">
        <v>73.7636</v>
      </c>
      <c r="AI38" s="25">
        <f t="shared" ref="AI38:AI61" si="6">AH38*0.7</f>
        <v>51.63452</v>
      </c>
      <c r="AJ38" s="20">
        <v>0.25</v>
      </c>
      <c r="AK38" s="25">
        <f t="shared" ref="AK38:AK61" si="7">((AG38+AI38+AJ38)-0)+0</f>
        <v>61.03452</v>
      </c>
    </row>
    <row r="39" spans="1:38">
      <c r="A39" s="18">
        <v>2511410207</v>
      </c>
      <c r="B39" s="18" t="s">
        <v>81</v>
      </c>
      <c r="C39" s="18" t="s">
        <v>75</v>
      </c>
      <c r="D39" s="19">
        <v>0</v>
      </c>
      <c r="E39" s="19">
        <v>0</v>
      </c>
      <c r="F39" s="29">
        <v>0</v>
      </c>
      <c r="G39" s="33">
        <v>3</v>
      </c>
      <c r="H39" s="32">
        <v>3</v>
      </c>
      <c r="I39" s="19">
        <v>0</v>
      </c>
      <c r="J39" s="19">
        <v>0</v>
      </c>
      <c r="K39" s="39">
        <v>0.3</v>
      </c>
      <c r="L39" s="40"/>
      <c r="M39" s="19">
        <v>0</v>
      </c>
      <c r="N39" s="19">
        <v>0</v>
      </c>
      <c r="O39" s="19">
        <v>9</v>
      </c>
      <c r="P39" s="19">
        <v>0</v>
      </c>
      <c r="Q39" s="19">
        <v>1.2</v>
      </c>
      <c r="R39" s="19">
        <v>0</v>
      </c>
      <c r="S39" s="19">
        <v>0</v>
      </c>
      <c r="T39" s="19">
        <v>0</v>
      </c>
      <c r="U39" s="38">
        <v>5</v>
      </c>
      <c r="V39" s="38"/>
      <c r="W39" s="38"/>
      <c r="X39" s="32">
        <v>3</v>
      </c>
      <c r="Y39" s="19">
        <v>5</v>
      </c>
      <c r="Z39" s="19">
        <v>0.5</v>
      </c>
      <c r="AA39" s="32">
        <v>3</v>
      </c>
      <c r="AB39" s="19">
        <v>0</v>
      </c>
      <c r="AC39" s="20">
        <v>0</v>
      </c>
      <c r="AD39" s="20">
        <v>0</v>
      </c>
      <c r="AE39" s="20">
        <v>0</v>
      </c>
      <c r="AF39" s="20">
        <f t="shared" si="4"/>
        <v>33</v>
      </c>
      <c r="AG39" s="20">
        <f t="shared" si="5"/>
        <v>9.9</v>
      </c>
      <c r="AH39" s="25">
        <v>78.5636</v>
      </c>
      <c r="AI39" s="25">
        <f t="shared" si="6"/>
        <v>54.99452</v>
      </c>
      <c r="AJ39" s="20">
        <v>0</v>
      </c>
      <c r="AK39" s="25">
        <f t="shared" si="7"/>
        <v>64.89452</v>
      </c>
    </row>
    <row r="40" spans="1:38">
      <c r="A40" s="18">
        <v>2511410208</v>
      </c>
      <c r="B40" s="18" t="s">
        <v>82</v>
      </c>
      <c r="C40" s="18" t="s">
        <v>75</v>
      </c>
      <c r="D40" s="19">
        <v>4</v>
      </c>
      <c r="E40" s="19">
        <v>2</v>
      </c>
      <c r="F40" s="29">
        <v>2</v>
      </c>
      <c r="G40" s="33">
        <v>4</v>
      </c>
      <c r="H40" s="32">
        <v>4</v>
      </c>
      <c r="I40" s="19">
        <v>0</v>
      </c>
      <c r="J40" s="19">
        <v>0</v>
      </c>
      <c r="K40" s="39">
        <v>2.3</v>
      </c>
      <c r="L40" s="40"/>
      <c r="M40" s="19">
        <v>0</v>
      </c>
      <c r="N40" s="19">
        <v>1</v>
      </c>
      <c r="O40" s="19">
        <v>9</v>
      </c>
      <c r="P40" s="19">
        <v>2</v>
      </c>
      <c r="Q40" s="19">
        <v>1.2</v>
      </c>
      <c r="R40" s="19">
        <v>2</v>
      </c>
      <c r="S40" s="19">
        <v>3</v>
      </c>
      <c r="T40" s="19">
        <v>3</v>
      </c>
      <c r="U40" s="38">
        <v>5</v>
      </c>
      <c r="V40" s="38"/>
      <c r="W40" s="38"/>
      <c r="X40" s="33">
        <v>0</v>
      </c>
      <c r="Y40" s="19">
        <v>5</v>
      </c>
      <c r="Z40" s="19">
        <v>6</v>
      </c>
      <c r="AA40" s="33">
        <v>0</v>
      </c>
      <c r="AB40" s="19">
        <v>0</v>
      </c>
      <c r="AC40" s="20">
        <v>0</v>
      </c>
      <c r="AD40" s="20">
        <v>0</v>
      </c>
      <c r="AE40" s="20">
        <v>0</v>
      </c>
      <c r="AF40" s="20">
        <f t="shared" si="4"/>
        <v>55.5</v>
      </c>
      <c r="AG40" s="20">
        <f t="shared" si="5"/>
        <v>16.65</v>
      </c>
      <c r="AH40" s="25">
        <v>73</v>
      </c>
      <c r="AI40" s="25">
        <f t="shared" si="6"/>
        <v>51.1</v>
      </c>
      <c r="AJ40" s="20">
        <v>0</v>
      </c>
      <c r="AK40" s="25">
        <f t="shared" si="7"/>
        <v>67.75</v>
      </c>
      <c r="AL40" s="44"/>
    </row>
    <row r="41" spans="1:38">
      <c r="A41" s="18">
        <v>2511410209</v>
      </c>
      <c r="B41" s="18" t="s">
        <v>83</v>
      </c>
      <c r="C41" s="18" t="s">
        <v>75</v>
      </c>
      <c r="D41" s="19">
        <v>0</v>
      </c>
      <c r="E41" s="19">
        <v>0</v>
      </c>
      <c r="F41" s="29">
        <v>0</v>
      </c>
      <c r="G41" s="33">
        <v>0</v>
      </c>
      <c r="H41" s="32">
        <v>3</v>
      </c>
      <c r="I41" s="19">
        <v>0</v>
      </c>
      <c r="J41" s="19">
        <v>0</v>
      </c>
      <c r="K41" s="39">
        <v>1.3</v>
      </c>
      <c r="L41" s="40"/>
      <c r="M41" s="19">
        <v>0</v>
      </c>
      <c r="N41" s="19">
        <v>0</v>
      </c>
      <c r="O41" s="19">
        <v>7.5</v>
      </c>
      <c r="P41" s="19">
        <v>0</v>
      </c>
      <c r="Q41" s="19">
        <v>0.8</v>
      </c>
      <c r="R41" s="19">
        <v>0</v>
      </c>
      <c r="S41" s="19">
        <v>0</v>
      </c>
      <c r="T41" s="19">
        <v>0</v>
      </c>
      <c r="U41" s="38">
        <v>5</v>
      </c>
      <c r="V41" s="38"/>
      <c r="W41" s="38"/>
      <c r="X41" s="33">
        <v>0</v>
      </c>
      <c r="Y41" s="19">
        <v>5</v>
      </c>
      <c r="Z41" s="19">
        <v>3</v>
      </c>
      <c r="AA41" s="33">
        <v>0</v>
      </c>
      <c r="AB41" s="19">
        <v>0</v>
      </c>
      <c r="AC41" s="20">
        <v>0</v>
      </c>
      <c r="AD41" s="20">
        <v>0</v>
      </c>
      <c r="AE41" s="20">
        <v>0</v>
      </c>
      <c r="AF41" s="20">
        <f t="shared" si="4"/>
        <v>25.6</v>
      </c>
      <c r="AG41" s="20">
        <f t="shared" si="5"/>
        <v>7.68</v>
      </c>
      <c r="AH41" s="25">
        <v>83.5455</v>
      </c>
      <c r="AI41" s="25">
        <f t="shared" si="6"/>
        <v>58.48185</v>
      </c>
      <c r="AJ41" s="20">
        <v>0</v>
      </c>
      <c r="AK41" s="25">
        <f t="shared" si="7"/>
        <v>66.16185</v>
      </c>
    </row>
    <row r="42" spans="1:38">
      <c r="A42" s="18">
        <v>2511410210</v>
      </c>
      <c r="B42" s="18" t="s">
        <v>84</v>
      </c>
      <c r="C42" s="18" t="s">
        <v>75</v>
      </c>
      <c r="D42" s="19">
        <v>0</v>
      </c>
      <c r="E42" s="19">
        <v>0</v>
      </c>
      <c r="F42" s="29">
        <v>0</v>
      </c>
      <c r="G42" s="33">
        <v>0</v>
      </c>
      <c r="H42" s="32">
        <v>3</v>
      </c>
      <c r="I42" s="19">
        <v>0</v>
      </c>
      <c r="J42" s="19">
        <v>0</v>
      </c>
      <c r="K42" s="39">
        <v>1.3</v>
      </c>
      <c r="L42" s="40"/>
      <c r="M42" s="19">
        <v>0</v>
      </c>
      <c r="N42" s="19">
        <v>0</v>
      </c>
      <c r="O42" s="19">
        <v>7.5</v>
      </c>
      <c r="P42" s="19">
        <v>0</v>
      </c>
      <c r="Q42" s="19">
        <v>0.8</v>
      </c>
      <c r="R42" s="19">
        <v>0</v>
      </c>
      <c r="S42" s="19">
        <v>0</v>
      </c>
      <c r="T42" s="19">
        <v>0</v>
      </c>
      <c r="U42" s="38">
        <v>5</v>
      </c>
      <c r="V42" s="38"/>
      <c r="W42" s="38"/>
      <c r="X42" s="33">
        <v>0</v>
      </c>
      <c r="Y42" s="19">
        <v>5</v>
      </c>
      <c r="Z42" s="19">
        <v>0</v>
      </c>
      <c r="AA42" s="33">
        <v>0</v>
      </c>
      <c r="AB42" s="19">
        <v>0</v>
      </c>
      <c r="AC42" s="20">
        <v>0</v>
      </c>
      <c r="AD42" s="20">
        <v>0</v>
      </c>
      <c r="AE42" s="20">
        <v>0</v>
      </c>
      <c r="AF42" s="20">
        <f t="shared" si="4"/>
        <v>22.6</v>
      </c>
      <c r="AG42" s="20">
        <f t="shared" si="5"/>
        <v>6.78</v>
      </c>
      <c r="AH42" s="25">
        <v>85.4727</v>
      </c>
      <c r="AI42" s="25">
        <f t="shared" si="6"/>
        <v>59.83089</v>
      </c>
      <c r="AJ42" s="20">
        <v>0.25</v>
      </c>
      <c r="AK42" s="25">
        <f t="shared" si="7"/>
        <v>66.86089</v>
      </c>
    </row>
    <row r="43" spans="1:38">
      <c r="A43" s="18">
        <v>2511410211</v>
      </c>
      <c r="B43" s="18" t="s">
        <v>85</v>
      </c>
      <c r="C43" s="18" t="s">
        <v>75</v>
      </c>
      <c r="D43" s="19">
        <v>0</v>
      </c>
      <c r="E43" s="19">
        <v>0</v>
      </c>
      <c r="F43" s="29">
        <v>0</v>
      </c>
      <c r="G43" s="33">
        <v>6</v>
      </c>
      <c r="H43" s="32">
        <v>2</v>
      </c>
      <c r="I43" s="19">
        <v>0</v>
      </c>
      <c r="J43" s="19">
        <v>0</v>
      </c>
      <c r="K43" s="39">
        <v>0.3</v>
      </c>
      <c r="L43" s="40"/>
      <c r="M43" s="19">
        <v>0</v>
      </c>
      <c r="N43" s="19">
        <v>0</v>
      </c>
      <c r="O43" s="19">
        <v>7.5</v>
      </c>
      <c r="P43" s="19">
        <v>0</v>
      </c>
      <c r="Q43" s="19">
        <v>0.8</v>
      </c>
      <c r="R43" s="19">
        <v>0</v>
      </c>
      <c r="S43" s="19">
        <v>0</v>
      </c>
      <c r="T43" s="19">
        <v>0</v>
      </c>
      <c r="U43" s="38">
        <v>5</v>
      </c>
      <c r="V43" s="38"/>
      <c r="W43" s="38"/>
      <c r="X43" s="33">
        <v>0</v>
      </c>
      <c r="Y43" s="19">
        <v>5</v>
      </c>
      <c r="Z43" s="19">
        <v>6</v>
      </c>
      <c r="AA43" s="33">
        <v>0</v>
      </c>
      <c r="AB43" s="19">
        <v>0</v>
      </c>
      <c r="AC43" s="20">
        <v>0</v>
      </c>
      <c r="AD43" s="20">
        <v>0</v>
      </c>
      <c r="AE43" s="20">
        <v>0</v>
      </c>
      <c r="AF43" s="20">
        <f t="shared" si="4"/>
        <v>32.6</v>
      </c>
      <c r="AG43" s="20">
        <f t="shared" si="5"/>
        <v>9.78</v>
      </c>
      <c r="AH43" s="25">
        <v>82.5636</v>
      </c>
      <c r="AI43" s="25">
        <f t="shared" si="6"/>
        <v>57.79452</v>
      </c>
      <c r="AJ43" s="20">
        <v>0</v>
      </c>
      <c r="AK43" s="25">
        <f t="shared" si="7"/>
        <v>67.57452</v>
      </c>
    </row>
    <row r="44" spans="1:38">
      <c r="A44" s="18">
        <v>2511410212</v>
      </c>
      <c r="B44" s="18" t="s">
        <v>86</v>
      </c>
      <c r="C44" s="18" t="s">
        <v>75</v>
      </c>
      <c r="D44" s="19">
        <v>0</v>
      </c>
      <c r="E44" s="19">
        <v>0</v>
      </c>
      <c r="F44" s="29">
        <v>1</v>
      </c>
      <c r="G44" s="33">
        <v>3</v>
      </c>
      <c r="H44" s="32">
        <v>2</v>
      </c>
      <c r="I44" s="19">
        <v>2</v>
      </c>
      <c r="J44" s="19">
        <v>0</v>
      </c>
      <c r="K44" s="39">
        <v>0.3</v>
      </c>
      <c r="L44" s="40"/>
      <c r="M44" s="19">
        <v>0</v>
      </c>
      <c r="N44" s="19">
        <v>1</v>
      </c>
      <c r="O44" s="19">
        <v>7.5</v>
      </c>
      <c r="P44" s="19">
        <v>0</v>
      </c>
      <c r="Q44" s="19">
        <v>0.8</v>
      </c>
      <c r="R44" s="19">
        <v>0</v>
      </c>
      <c r="S44" s="19">
        <v>0</v>
      </c>
      <c r="T44" s="19">
        <v>0</v>
      </c>
      <c r="U44" s="38">
        <v>5</v>
      </c>
      <c r="V44" s="38"/>
      <c r="W44" s="38"/>
      <c r="X44" s="33">
        <v>0</v>
      </c>
      <c r="Y44" s="19">
        <v>5</v>
      </c>
      <c r="Z44" s="19">
        <v>0</v>
      </c>
      <c r="AA44" s="33">
        <v>0</v>
      </c>
      <c r="AB44" s="19">
        <v>0</v>
      </c>
      <c r="AC44" s="20">
        <v>0</v>
      </c>
      <c r="AD44" s="20">
        <v>0</v>
      </c>
      <c r="AE44" s="20">
        <v>0</v>
      </c>
      <c r="AF44" s="20">
        <f t="shared" si="4"/>
        <v>27.6</v>
      </c>
      <c r="AG44" s="20">
        <f t="shared" si="5"/>
        <v>8.28</v>
      </c>
      <c r="AH44" s="25">
        <v>69.5091</v>
      </c>
      <c r="AI44" s="25">
        <f t="shared" si="6"/>
        <v>48.65637</v>
      </c>
      <c r="AJ44" s="20">
        <v>0</v>
      </c>
      <c r="AK44" s="25">
        <f t="shared" si="7"/>
        <v>56.93637</v>
      </c>
    </row>
    <row r="45" spans="1:38">
      <c r="A45" s="18">
        <v>2511410213</v>
      </c>
      <c r="B45" s="18" t="s">
        <v>87</v>
      </c>
      <c r="C45" s="18" t="s">
        <v>75</v>
      </c>
      <c r="D45" s="19">
        <v>0</v>
      </c>
      <c r="E45" s="19">
        <v>0</v>
      </c>
      <c r="F45" s="29">
        <v>2</v>
      </c>
      <c r="G45" s="34">
        <v>6</v>
      </c>
      <c r="H45" s="32">
        <v>4</v>
      </c>
      <c r="I45" s="19">
        <v>0</v>
      </c>
      <c r="J45" s="19">
        <v>0</v>
      </c>
      <c r="K45" s="39">
        <v>2.3</v>
      </c>
      <c r="L45" s="40"/>
      <c r="M45" s="19">
        <v>0</v>
      </c>
      <c r="N45" s="19">
        <v>1</v>
      </c>
      <c r="O45" s="19">
        <v>9</v>
      </c>
      <c r="P45" s="19">
        <v>0</v>
      </c>
      <c r="Q45" s="19">
        <v>1.2</v>
      </c>
      <c r="R45" s="19">
        <v>0</v>
      </c>
      <c r="S45" s="19">
        <v>0</v>
      </c>
      <c r="T45" s="19">
        <v>0</v>
      </c>
      <c r="U45" s="38">
        <v>5</v>
      </c>
      <c r="V45" s="38"/>
      <c r="W45" s="38"/>
      <c r="X45" s="33">
        <v>0</v>
      </c>
      <c r="Y45" s="19">
        <v>3</v>
      </c>
      <c r="Z45" s="19">
        <v>6</v>
      </c>
      <c r="AA45" s="33">
        <v>0</v>
      </c>
      <c r="AB45" s="19">
        <v>8</v>
      </c>
      <c r="AC45" s="20">
        <v>0</v>
      </c>
      <c r="AD45" s="20">
        <v>0</v>
      </c>
      <c r="AE45" s="20">
        <v>0</v>
      </c>
      <c r="AF45" s="20">
        <f t="shared" si="4"/>
        <v>47.5</v>
      </c>
      <c r="AG45" s="20">
        <f t="shared" si="5"/>
        <v>14.25</v>
      </c>
      <c r="AH45" s="25">
        <v>80.6727</v>
      </c>
      <c r="AI45" s="25">
        <f t="shared" si="6"/>
        <v>56.47089</v>
      </c>
      <c r="AJ45" s="20">
        <v>0</v>
      </c>
      <c r="AK45" s="25">
        <f t="shared" si="7"/>
        <v>70.72089</v>
      </c>
    </row>
    <row r="46" spans="1:38">
      <c r="A46" s="18">
        <v>2511410214</v>
      </c>
      <c r="B46" s="18" t="s">
        <v>88</v>
      </c>
      <c r="C46" s="18" t="s">
        <v>75</v>
      </c>
      <c r="D46" s="19">
        <v>0</v>
      </c>
      <c r="E46" s="19">
        <v>0</v>
      </c>
      <c r="F46" s="29">
        <v>2</v>
      </c>
      <c r="G46" s="33">
        <v>3</v>
      </c>
      <c r="H46" s="32">
        <v>3</v>
      </c>
      <c r="I46" s="19">
        <v>0</v>
      </c>
      <c r="J46" s="19">
        <v>0</v>
      </c>
      <c r="K46" s="39">
        <v>0.3</v>
      </c>
      <c r="L46" s="40"/>
      <c r="M46" s="19">
        <v>0</v>
      </c>
      <c r="N46" s="19">
        <v>1</v>
      </c>
      <c r="O46" s="19">
        <v>10.5</v>
      </c>
      <c r="P46" s="19">
        <v>0</v>
      </c>
      <c r="Q46" s="19">
        <v>1.6</v>
      </c>
      <c r="R46" s="19">
        <v>0</v>
      </c>
      <c r="S46" s="19">
        <v>0</v>
      </c>
      <c r="T46" s="19">
        <v>0</v>
      </c>
      <c r="U46" s="38">
        <v>5</v>
      </c>
      <c r="V46" s="38"/>
      <c r="W46" s="38"/>
      <c r="X46" s="33">
        <v>0</v>
      </c>
      <c r="Y46" s="19">
        <v>5</v>
      </c>
      <c r="Z46" s="19">
        <v>0</v>
      </c>
      <c r="AA46" s="33">
        <v>0</v>
      </c>
      <c r="AB46" s="19">
        <v>1.5</v>
      </c>
      <c r="AC46" s="20">
        <v>0</v>
      </c>
      <c r="AD46" s="20">
        <v>0</v>
      </c>
      <c r="AE46" s="20">
        <v>0</v>
      </c>
      <c r="AF46" s="20">
        <f t="shared" si="4"/>
        <v>32.9</v>
      </c>
      <c r="AG46" s="20">
        <f t="shared" si="5"/>
        <v>9.87</v>
      </c>
      <c r="AH46" s="25">
        <v>87</v>
      </c>
      <c r="AI46" s="25">
        <f t="shared" si="6"/>
        <v>60.9</v>
      </c>
      <c r="AJ46" s="20">
        <v>0.5</v>
      </c>
      <c r="AK46" s="25">
        <f t="shared" si="7"/>
        <v>71.27</v>
      </c>
    </row>
    <row r="47" spans="1:38">
      <c r="A47" s="18">
        <v>2511410215</v>
      </c>
      <c r="B47" s="18" t="s">
        <v>89</v>
      </c>
      <c r="C47" s="18" t="s">
        <v>75</v>
      </c>
      <c r="D47" s="19">
        <v>0</v>
      </c>
      <c r="E47" s="19">
        <v>2</v>
      </c>
      <c r="F47" s="29">
        <v>0</v>
      </c>
      <c r="G47" s="33">
        <v>0</v>
      </c>
      <c r="H47" s="32">
        <v>3</v>
      </c>
      <c r="I47" s="19">
        <v>0</v>
      </c>
      <c r="J47" s="19">
        <v>0</v>
      </c>
      <c r="K47" s="39">
        <v>1.3</v>
      </c>
      <c r="L47" s="40"/>
      <c r="M47" s="19">
        <v>0</v>
      </c>
      <c r="N47" s="19">
        <v>0</v>
      </c>
      <c r="O47" s="19">
        <v>10.5</v>
      </c>
      <c r="P47" s="19">
        <v>0</v>
      </c>
      <c r="Q47" s="19">
        <v>1.6</v>
      </c>
      <c r="R47" s="19">
        <v>0</v>
      </c>
      <c r="S47" s="19">
        <v>0</v>
      </c>
      <c r="T47" s="19">
        <v>0</v>
      </c>
      <c r="U47" s="38">
        <v>5</v>
      </c>
      <c r="V47" s="38"/>
      <c r="W47" s="38"/>
      <c r="X47" s="33">
        <v>0</v>
      </c>
      <c r="Y47" s="19">
        <v>5</v>
      </c>
      <c r="Z47" s="19">
        <v>0</v>
      </c>
      <c r="AA47" s="33">
        <v>0</v>
      </c>
      <c r="AB47" s="19">
        <v>0.5</v>
      </c>
      <c r="AC47" s="20">
        <v>0</v>
      </c>
      <c r="AD47" s="20">
        <v>0</v>
      </c>
      <c r="AE47" s="20">
        <v>0</v>
      </c>
      <c r="AF47" s="20">
        <f t="shared" si="4"/>
        <v>28.9</v>
      </c>
      <c r="AG47" s="20">
        <f t="shared" si="5"/>
        <v>8.67</v>
      </c>
      <c r="AH47" s="25">
        <v>83.9818</v>
      </c>
      <c r="AI47" s="25">
        <f t="shared" si="6"/>
        <v>58.78726</v>
      </c>
      <c r="AJ47" s="20">
        <v>0.25</v>
      </c>
      <c r="AK47" s="25">
        <f t="shared" si="7"/>
        <v>67.70726</v>
      </c>
    </row>
    <row r="48" spans="1:38">
      <c r="A48" s="18">
        <v>2511410216</v>
      </c>
      <c r="B48" s="18" t="s">
        <v>90</v>
      </c>
      <c r="C48" s="18" t="s">
        <v>75</v>
      </c>
      <c r="D48" s="19">
        <v>0</v>
      </c>
      <c r="E48" s="19">
        <v>0</v>
      </c>
      <c r="F48" s="29">
        <v>0</v>
      </c>
      <c r="G48" s="33">
        <v>3</v>
      </c>
      <c r="H48" s="32">
        <v>4</v>
      </c>
      <c r="I48" s="19">
        <v>2</v>
      </c>
      <c r="J48" s="19">
        <v>0</v>
      </c>
      <c r="K48" s="39">
        <v>1.3</v>
      </c>
      <c r="L48" s="40"/>
      <c r="M48" s="19">
        <v>0</v>
      </c>
      <c r="N48" s="19">
        <v>0</v>
      </c>
      <c r="O48" s="19">
        <v>9</v>
      </c>
      <c r="P48" s="19">
        <v>0</v>
      </c>
      <c r="Q48" s="19">
        <v>1.2</v>
      </c>
      <c r="R48" s="19">
        <v>0</v>
      </c>
      <c r="S48" s="19">
        <v>0</v>
      </c>
      <c r="T48" s="19">
        <v>0</v>
      </c>
      <c r="U48" s="38">
        <v>5</v>
      </c>
      <c r="V48" s="38"/>
      <c r="W48" s="38"/>
      <c r="X48" s="33">
        <v>0</v>
      </c>
      <c r="Y48" s="19">
        <v>5</v>
      </c>
      <c r="Z48" s="19">
        <v>1</v>
      </c>
      <c r="AA48" s="33">
        <v>0</v>
      </c>
      <c r="AB48" s="19">
        <v>0</v>
      </c>
      <c r="AC48" s="20">
        <v>0</v>
      </c>
      <c r="AD48" s="20">
        <v>0</v>
      </c>
      <c r="AE48" s="20">
        <v>0</v>
      </c>
      <c r="AF48" s="20">
        <f t="shared" si="4"/>
        <v>31.5</v>
      </c>
      <c r="AG48" s="20">
        <f t="shared" si="5"/>
        <v>9.45</v>
      </c>
      <c r="AH48" s="25">
        <v>91.5091</v>
      </c>
      <c r="AI48" s="25">
        <f t="shared" si="6"/>
        <v>64.05637</v>
      </c>
      <c r="AJ48" s="20">
        <v>0.5</v>
      </c>
      <c r="AK48" s="25">
        <f t="shared" si="7"/>
        <v>74.00637</v>
      </c>
    </row>
    <row r="49" spans="1:37">
      <c r="A49" s="18">
        <v>2511410217</v>
      </c>
      <c r="B49" s="18" t="s">
        <v>91</v>
      </c>
      <c r="C49" s="18" t="s">
        <v>75</v>
      </c>
      <c r="D49" s="19">
        <v>0</v>
      </c>
      <c r="E49" s="19">
        <v>0</v>
      </c>
      <c r="F49" s="29">
        <v>0</v>
      </c>
      <c r="G49" s="33">
        <v>0</v>
      </c>
      <c r="H49" s="32">
        <v>3</v>
      </c>
      <c r="I49" s="19">
        <v>0</v>
      </c>
      <c r="J49" s="19">
        <v>0</v>
      </c>
      <c r="K49" s="39">
        <v>1.3</v>
      </c>
      <c r="L49" s="40"/>
      <c r="M49" s="19">
        <v>0</v>
      </c>
      <c r="N49" s="19">
        <v>0</v>
      </c>
      <c r="O49" s="19">
        <v>9</v>
      </c>
      <c r="P49" s="19">
        <v>0</v>
      </c>
      <c r="Q49" s="19">
        <v>1.2</v>
      </c>
      <c r="R49" s="19">
        <v>0</v>
      </c>
      <c r="S49" s="19">
        <v>0</v>
      </c>
      <c r="T49" s="19">
        <v>0</v>
      </c>
      <c r="U49" s="38">
        <v>5</v>
      </c>
      <c r="V49" s="38"/>
      <c r="W49" s="38"/>
      <c r="X49" s="33">
        <v>0</v>
      </c>
      <c r="Y49" s="19">
        <v>5</v>
      </c>
      <c r="Z49" s="19">
        <v>0</v>
      </c>
      <c r="AA49" s="33">
        <v>0</v>
      </c>
      <c r="AB49" s="19">
        <v>0</v>
      </c>
      <c r="AC49" s="20">
        <v>0</v>
      </c>
      <c r="AD49" s="20">
        <v>0</v>
      </c>
      <c r="AE49" s="20">
        <v>0</v>
      </c>
      <c r="AF49" s="20">
        <f t="shared" si="4"/>
        <v>24.5</v>
      </c>
      <c r="AG49" s="20">
        <f t="shared" si="5"/>
        <v>7.35</v>
      </c>
      <c r="AH49" s="25">
        <v>71.5091</v>
      </c>
      <c r="AI49" s="25">
        <f t="shared" si="6"/>
        <v>50.05637</v>
      </c>
      <c r="AJ49" s="20">
        <v>0</v>
      </c>
      <c r="AK49" s="25">
        <f t="shared" si="7"/>
        <v>57.40637</v>
      </c>
    </row>
    <row r="50" spans="1:37">
      <c r="A50" s="18">
        <v>2511410218</v>
      </c>
      <c r="B50" s="18" t="s">
        <v>92</v>
      </c>
      <c r="C50" s="18" t="s">
        <v>75</v>
      </c>
      <c r="D50" s="19">
        <v>0</v>
      </c>
      <c r="E50" s="19">
        <v>0</v>
      </c>
      <c r="F50" s="29">
        <v>4</v>
      </c>
      <c r="G50" s="33">
        <v>6</v>
      </c>
      <c r="H50" s="32">
        <v>4</v>
      </c>
      <c r="I50" s="19">
        <v>2</v>
      </c>
      <c r="J50" s="19">
        <v>0</v>
      </c>
      <c r="K50" s="39">
        <v>2.3</v>
      </c>
      <c r="L50" s="40"/>
      <c r="M50" s="19">
        <v>0</v>
      </c>
      <c r="N50" s="19">
        <v>1</v>
      </c>
      <c r="O50" s="19">
        <v>9</v>
      </c>
      <c r="P50" s="19">
        <v>0</v>
      </c>
      <c r="Q50" s="19">
        <v>1.2</v>
      </c>
      <c r="R50" s="19">
        <v>0</v>
      </c>
      <c r="S50" s="19">
        <v>0</v>
      </c>
      <c r="T50" s="19">
        <v>0</v>
      </c>
      <c r="U50" s="38">
        <v>5</v>
      </c>
      <c r="V50" s="38"/>
      <c r="W50" s="38"/>
      <c r="X50" s="33">
        <v>0</v>
      </c>
      <c r="Y50" s="19">
        <v>0</v>
      </c>
      <c r="Z50" s="19">
        <v>6</v>
      </c>
      <c r="AA50" s="33">
        <v>0</v>
      </c>
      <c r="AB50" s="19">
        <v>0.5</v>
      </c>
      <c r="AC50" s="20">
        <v>0</v>
      </c>
      <c r="AD50" s="20">
        <v>0</v>
      </c>
      <c r="AE50" s="20">
        <v>0</v>
      </c>
      <c r="AF50" s="20">
        <f t="shared" si="4"/>
        <v>41</v>
      </c>
      <c r="AG50" s="20">
        <f t="shared" si="5"/>
        <v>12.3</v>
      </c>
      <c r="AH50" s="25">
        <v>85.3636</v>
      </c>
      <c r="AI50" s="25">
        <f t="shared" si="6"/>
        <v>59.75452</v>
      </c>
      <c r="AJ50" s="20">
        <v>0.25</v>
      </c>
      <c r="AK50" s="25">
        <f t="shared" si="7"/>
        <v>72.30452</v>
      </c>
    </row>
    <row r="51" spans="1:37">
      <c r="A51" s="18">
        <v>2511410220</v>
      </c>
      <c r="B51" s="18" t="s">
        <v>93</v>
      </c>
      <c r="C51" s="18" t="s">
        <v>75</v>
      </c>
      <c r="D51" s="19">
        <v>0</v>
      </c>
      <c r="E51" s="19">
        <v>0</v>
      </c>
      <c r="F51" s="29">
        <v>0</v>
      </c>
      <c r="G51" s="33">
        <v>3</v>
      </c>
      <c r="H51" s="32">
        <v>3</v>
      </c>
      <c r="I51" s="19">
        <v>0</v>
      </c>
      <c r="J51" s="19">
        <v>0</v>
      </c>
      <c r="K51" s="39">
        <v>0.3</v>
      </c>
      <c r="L51" s="40"/>
      <c r="M51" s="19">
        <v>0</v>
      </c>
      <c r="N51" s="19">
        <v>0</v>
      </c>
      <c r="O51" s="19">
        <v>10.5</v>
      </c>
      <c r="P51" s="19">
        <v>0</v>
      </c>
      <c r="Q51" s="19">
        <v>1.6</v>
      </c>
      <c r="R51" s="19">
        <v>0</v>
      </c>
      <c r="S51" s="19">
        <v>0</v>
      </c>
      <c r="T51" s="19">
        <v>0</v>
      </c>
      <c r="U51" s="38">
        <v>5</v>
      </c>
      <c r="V51" s="38"/>
      <c r="W51" s="38"/>
      <c r="X51" s="33">
        <v>0</v>
      </c>
      <c r="Y51" s="19">
        <v>5</v>
      </c>
      <c r="Z51" s="19">
        <v>0</v>
      </c>
      <c r="AA51" s="33">
        <v>0</v>
      </c>
      <c r="AB51" s="19">
        <v>1.5</v>
      </c>
      <c r="AC51" s="20">
        <v>0</v>
      </c>
      <c r="AD51" s="20">
        <v>0</v>
      </c>
      <c r="AE51" s="20">
        <v>0</v>
      </c>
      <c r="AF51" s="20">
        <f t="shared" si="4"/>
        <v>29.9</v>
      </c>
      <c r="AG51" s="20">
        <f t="shared" si="5"/>
        <v>8.97</v>
      </c>
      <c r="AH51" s="25">
        <v>90.5273</v>
      </c>
      <c r="AI51" s="25">
        <f t="shared" si="6"/>
        <v>63.36911</v>
      </c>
      <c r="AJ51" s="20">
        <v>0</v>
      </c>
      <c r="AK51" s="25">
        <f t="shared" si="7"/>
        <v>72.33911</v>
      </c>
    </row>
    <row r="52" spans="1:37">
      <c r="A52" s="18">
        <v>2511410221</v>
      </c>
      <c r="B52" s="18" t="s">
        <v>94</v>
      </c>
      <c r="C52" s="18" t="s">
        <v>75</v>
      </c>
      <c r="D52" s="19">
        <v>0</v>
      </c>
      <c r="E52" s="19">
        <v>0</v>
      </c>
      <c r="F52" s="29">
        <v>0</v>
      </c>
      <c r="G52" s="33">
        <v>0</v>
      </c>
      <c r="H52" s="32">
        <v>1</v>
      </c>
      <c r="I52" s="19">
        <v>0</v>
      </c>
      <c r="J52" s="19">
        <v>0</v>
      </c>
      <c r="K52" s="39">
        <v>0.3</v>
      </c>
      <c r="L52" s="40"/>
      <c r="M52" s="19">
        <v>0</v>
      </c>
      <c r="N52" s="19">
        <v>0</v>
      </c>
      <c r="O52" s="19">
        <v>9</v>
      </c>
      <c r="P52" s="19">
        <v>0</v>
      </c>
      <c r="Q52" s="19">
        <v>1.2</v>
      </c>
      <c r="R52" s="19">
        <v>0</v>
      </c>
      <c r="S52" s="19">
        <v>0</v>
      </c>
      <c r="T52" s="19">
        <v>0</v>
      </c>
      <c r="U52" s="38">
        <v>5</v>
      </c>
      <c r="V52" s="38"/>
      <c r="W52" s="38"/>
      <c r="X52" s="33">
        <v>0</v>
      </c>
      <c r="Y52" s="19">
        <v>5</v>
      </c>
      <c r="Z52" s="19">
        <v>3</v>
      </c>
      <c r="AA52" s="33">
        <v>0</v>
      </c>
      <c r="AB52" s="19">
        <v>0</v>
      </c>
      <c r="AC52" s="20">
        <v>0</v>
      </c>
      <c r="AD52" s="20">
        <v>0</v>
      </c>
      <c r="AE52" s="20">
        <v>0</v>
      </c>
      <c r="AF52" s="20">
        <f t="shared" si="4"/>
        <v>24.5</v>
      </c>
      <c r="AG52" s="20">
        <f t="shared" si="5"/>
        <v>7.35</v>
      </c>
      <c r="AH52" s="25">
        <v>74.8545</v>
      </c>
      <c r="AI52" s="25">
        <f t="shared" si="6"/>
        <v>52.39815</v>
      </c>
      <c r="AJ52" s="20">
        <v>0</v>
      </c>
      <c r="AK52" s="25">
        <f t="shared" si="7"/>
        <v>59.74815</v>
      </c>
    </row>
    <row r="53" spans="1:37">
      <c r="A53" s="18">
        <v>2511410222</v>
      </c>
      <c r="B53" s="18" t="s">
        <v>95</v>
      </c>
      <c r="C53" s="18" t="s">
        <v>75</v>
      </c>
      <c r="D53" s="19">
        <v>0</v>
      </c>
      <c r="E53" s="19">
        <v>0</v>
      </c>
      <c r="F53" s="29">
        <v>0</v>
      </c>
      <c r="G53" s="33">
        <v>3</v>
      </c>
      <c r="H53" s="32">
        <v>1</v>
      </c>
      <c r="I53" s="19">
        <v>0</v>
      </c>
      <c r="J53" s="19">
        <v>0</v>
      </c>
      <c r="K53" s="39">
        <v>0.3</v>
      </c>
      <c r="L53" s="40"/>
      <c r="M53" s="19">
        <v>0</v>
      </c>
      <c r="N53" s="19">
        <v>0</v>
      </c>
      <c r="O53" s="19">
        <v>9</v>
      </c>
      <c r="P53" s="19">
        <v>0</v>
      </c>
      <c r="Q53" s="19">
        <v>1.2</v>
      </c>
      <c r="R53" s="19">
        <v>0</v>
      </c>
      <c r="S53" s="19">
        <v>0</v>
      </c>
      <c r="T53" s="19">
        <v>0</v>
      </c>
      <c r="U53" s="38">
        <v>5</v>
      </c>
      <c r="V53" s="38"/>
      <c r="W53" s="38"/>
      <c r="X53" s="33">
        <v>0</v>
      </c>
      <c r="Y53" s="19">
        <v>5</v>
      </c>
      <c r="Z53" s="19">
        <v>0</v>
      </c>
      <c r="AA53" s="33">
        <v>0</v>
      </c>
      <c r="AB53" s="19">
        <v>3</v>
      </c>
      <c r="AC53" s="20">
        <v>0</v>
      </c>
      <c r="AD53" s="20">
        <v>0</v>
      </c>
      <c r="AE53" s="20">
        <v>0</v>
      </c>
      <c r="AF53" s="20">
        <f t="shared" si="4"/>
        <v>27.5</v>
      </c>
      <c r="AG53" s="20">
        <f t="shared" si="5"/>
        <v>8.25</v>
      </c>
      <c r="AH53" s="25">
        <v>80.4182</v>
      </c>
      <c r="AI53" s="25">
        <f t="shared" si="6"/>
        <v>56.29274</v>
      </c>
      <c r="AJ53" s="20">
        <v>0</v>
      </c>
      <c r="AK53" s="25">
        <f t="shared" si="7"/>
        <v>64.54274</v>
      </c>
    </row>
    <row r="54" spans="1:37">
      <c r="A54" s="18">
        <v>2511410223</v>
      </c>
      <c r="B54" s="18" t="s">
        <v>96</v>
      </c>
      <c r="C54" s="18" t="s">
        <v>75</v>
      </c>
      <c r="D54" s="19">
        <v>0</v>
      </c>
      <c r="E54" s="19">
        <v>0</v>
      </c>
      <c r="F54" s="29">
        <v>4</v>
      </c>
      <c r="G54" s="33">
        <v>0</v>
      </c>
      <c r="H54" s="32">
        <v>4</v>
      </c>
      <c r="I54" s="19">
        <v>0</v>
      </c>
      <c r="J54" s="19">
        <v>0</v>
      </c>
      <c r="K54" s="39">
        <v>2.3</v>
      </c>
      <c r="L54" s="40"/>
      <c r="M54" s="19">
        <v>0</v>
      </c>
      <c r="N54" s="19">
        <v>1</v>
      </c>
      <c r="O54" s="19">
        <v>10.5</v>
      </c>
      <c r="P54" s="19">
        <v>0</v>
      </c>
      <c r="Q54" s="19">
        <v>1.6</v>
      </c>
      <c r="R54" s="19">
        <v>0</v>
      </c>
      <c r="S54" s="19">
        <v>0</v>
      </c>
      <c r="T54" s="19">
        <v>0</v>
      </c>
      <c r="U54" s="38">
        <v>5</v>
      </c>
      <c r="V54" s="38"/>
      <c r="W54" s="38"/>
      <c r="X54" s="33">
        <v>0</v>
      </c>
      <c r="Y54" s="19">
        <v>5</v>
      </c>
      <c r="Z54" s="19">
        <v>0</v>
      </c>
      <c r="AA54" s="33">
        <v>0</v>
      </c>
      <c r="AB54" s="19">
        <v>0.5</v>
      </c>
      <c r="AC54" s="20">
        <v>0</v>
      </c>
      <c r="AD54" s="20">
        <v>0</v>
      </c>
      <c r="AE54" s="20">
        <v>0</v>
      </c>
      <c r="AF54" s="20">
        <f t="shared" si="4"/>
        <v>33.9</v>
      </c>
      <c r="AG54" s="20">
        <f t="shared" si="5"/>
        <v>10.17</v>
      </c>
      <c r="AH54" s="25">
        <v>88.6</v>
      </c>
      <c r="AI54" s="25">
        <f t="shared" si="6"/>
        <v>62.02</v>
      </c>
      <c r="AJ54" s="20">
        <v>0.25</v>
      </c>
      <c r="AK54" s="25">
        <f t="shared" si="7"/>
        <v>72.44</v>
      </c>
    </row>
    <row r="55" spans="1:37">
      <c r="A55" s="18">
        <v>2511410224</v>
      </c>
      <c r="B55" s="18" t="s">
        <v>97</v>
      </c>
      <c r="C55" s="18" t="s">
        <v>75</v>
      </c>
      <c r="D55" s="19">
        <v>0</v>
      </c>
      <c r="E55" s="19">
        <v>0</v>
      </c>
      <c r="F55" s="29">
        <v>2</v>
      </c>
      <c r="G55" s="33">
        <v>3</v>
      </c>
      <c r="H55" s="32">
        <v>3</v>
      </c>
      <c r="I55" s="19">
        <v>2</v>
      </c>
      <c r="J55" s="19">
        <v>0</v>
      </c>
      <c r="K55" s="39">
        <v>2.3</v>
      </c>
      <c r="L55" s="40"/>
      <c r="M55" s="19">
        <v>0</v>
      </c>
      <c r="N55" s="19">
        <v>1</v>
      </c>
      <c r="O55" s="19">
        <v>9</v>
      </c>
      <c r="P55" s="19">
        <v>0</v>
      </c>
      <c r="Q55" s="19">
        <v>1.2</v>
      </c>
      <c r="R55" s="19">
        <v>0</v>
      </c>
      <c r="S55" s="19">
        <v>0</v>
      </c>
      <c r="T55" s="19">
        <v>0</v>
      </c>
      <c r="U55" s="38">
        <v>5</v>
      </c>
      <c r="V55" s="38"/>
      <c r="W55" s="38"/>
      <c r="X55" s="33">
        <v>0</v>
      </c>
      <c r="Y55" s="19">
        <v>5</v>
      </c>
      <c r="Z55" s="19">
        <v>0</v>
      </c>
      <c r="AA55" s="33">
        <v>0</v>
      </c>
      <c r="AB55" s="19">
        <v>0.5</v>
      </c>
      <c r="AC55" s="20">
        <v>0</v>
      </c>
      <c r="AD55" s="20">
        <v>0</v>
      </c>
      <c r="AE55" s="20">
        <v>0</v>
      </c>
      <c r="AF55" s="20">
        <f t="shared" si="4"/>
        <v>34</v>
      </c>
      <c r="AG55" s="20">
        <f t="shared" si="5"/>
        <v>10.2</v>
      </c>
      <c r="AH55" s="25">
        <v>75.8727</v>
      </c>
      <c r="AI55" s="25">
        <f t="shared" si="6"/>
        <v>53.11089</v>
      </c>
      <c r="AJ55" s="20">
        <v>0</v>
      </c>
      <c r="AK55" s="25">
        <f t="shared" si="7"/>
        <v>63.31089</v>
      </c>
    </row>
    <row r="56" spans="1:37">
      <c r="A56" s="18">
        <v>2511410225</v>
      </c>
      <c r="B56" s="18" t="s">
        <v>98</v>
      </c>
      <c r="C56" s="18" t="s">
        <v>75</v>
      </c>
      <c r="D56" s="19">
        <v>0</v>
      </c>
      <c r="E56" s="19">
        <v>0</v>
      </c>
      <c r="F56" s="29">
        <v>0</v>
      </c>
      <c r="G56" s="33">
        <v>0</v>
      </c>
      <c r="H56" s="32">
        <v>3</v>
      </c>
      <c r="I56" s="19">
        <v>0</v>
      </c>
      <c r="J56" s="19">
        <v>0</v>
      </c>
      <c r="K56" s="39">
        <v>1.3</v>
      </c>
      <c r="L56" s="40"/>
      <c r="M56" s="19">
        <v>0</v>
      </c>
      <c r="N56" s="19">
        <v>0</v>
      </c>
      <c r="O56" s="19">
        <v>10.5</v>
      </c>
      <c r="P56" s="19">
        <v>0</v>
      </c>
      <c r="Q56" s="19">
        <v>1.6</v>
      </c>
      <c r="R56" s="19">
        <v>0</v>
      </c>
      <c r="S56" s="19">
        <v>0</v>
      </c>
      <c r="T56" s="19">
        <v>0</v>
      </c>
      <c r="U56" s="38">
        <v>5</v>
      </c>
      <c r="V56" s="38"/>
      <c r="W56" s="38"/>
      <c r="X56" s="33">
        <v>0</v>
      </c>
      <c r="Y56" s="19">
        <v>5</v>
      </c>
      <c r="Z56" s="19">
        <v>3</v>
      </c>
      <c r="AA56" s="33">
        <v>0</v>
      </c>
      <c r="AB56" s="19">
        <v>0</v>
      </c>
      <c r="AC56" s="20">
        <v>0</v>
      </c>
      <c r="AD56" s="20">
        <v>0</v>
      </c>
      <c r="AE56" s="20">
        <v>0</v>
      </c>
      <c r="AF56" s="20">
        <f t="shared" si="4"/>
        <v>29.4</v>
      </c>
      <c r="AG56" s="20">
        <f t="shared" si="5"/>
        <v>8.82</v>
      </c>
      <c r="AH56" s="25">
        <v>90.6</v>
      </c>
      <c r="AI56" s="25">
        <f t="shared" si="6"/>
        <v>63.42</v>
      </c>
      <c r="AJ56" s="20">
        <v>0.5</v>
      </c>
      <c r="AK56" s="25">
        <f t="shared" si="7"/>
        <v>72.74</v>
      </c>
    </row>
    <row r="57" spans="1:37">
      <c r="A57" s="18">
        <v>2511410226</v>
      </c>
      <c r="B57" s="18" t="s">
        <v>99</v>
      </c>
      <c r="C57" s="18" t="s">
        <v>75</v>
      </c>
      <c r="D57" s="19">
        <v>0</v>
      </c>
      <c r="E57" s="19">
        <v>0</v>
      </c>
      <c r="F57" s="29">
        <v>0</v>
      </c>
      <c r="G57" s="33">
        <v>0</v>
      </c>
      <c r="H57" s="32">
        <v>2</v>
      </c>
      <c r="I57" s="19">
        <v>0</v>
      </c>
      <c r="J57" s="19">
        <v>0</v>
      </c>
      <c r="K57" s="39">
        <v>1.3</v>
      </c>
      <c r="L57" s="40"/>
      <c r="M57" s="19">
        <v>0</v>
      </c>
      <c r="N57" s="19">
        <v>0</v>
      </c>
      <c r="O57" s="19">
        <v>10.5</v>
      </c>
      <c r="P57" s="19">
        <v>0</v>
      </c>
      <c r="Q57" s="19">
        <v>1.6</v>
      </c>
      <c r="R57" s="19">
        <v>0</v>
      </c>
      <c r="S57" s="19">
        <v>0</v>
      </c>
      <c r="T57" s="19">
        <v>0</v>
      </c>
      <c r="U57" s="38">
        <v>5</v>
      </c>
      <c r="V57" s="38"/>
      <c r="W57" s="38"/>
      <c r="X57" s="33">
        <v>0</v>
      </c>
      <c r="Y57" s="19">
        <v>3</v>
      </c>
      <c r="Z57" s="19">
        <v>3</v>
      </c>
      <c r="AA57" s="33">
        <v>0</v>
      </c>
      <c r="AB57" s="19">
        <v>0</v>
      </c>
      <c r="AC57" s="20">
        <v>0</v>
      </c>
      <c r="AD57" s="20">
        <v>0</v>
      </c>
      <c r="AE57" s="20">
        <v>0</v>
      </c>
      <c r="AF57" s="20">
        <f t="shared" si="4"/>
        <v>26.4</v>
      </c>
      <c r="AG57" s="20">
        <f t="shared" si="5"/>
        <v>7.92</v>
      </c>
      <c r="AH57" s="25">
        <v>81.0727</v>
      </c>
      <c r="AI57" s="25">
        <f t="shared" si="6"/>
        <v>56.75089</v>
      </c>
      <c r="AJ57" s="20">
        <v>0</v>
      </c>
      <c r="AK57" s="25">
        <f t="shared" si="7"/>
        <v>64.67089</v>
      </c>
    </row>
    <row r="58" spans="1:37">
      <c r="A58" s="18">
        <v>2511410227</v>
      </c>
      <c r="B58" s="18" t="s">
        <v>100</v>
      </c>
      <c r="C58" s="18" t="s">
        <v>75</v>
      </c>
      <c r="D58" s="19">
        <v>0</v>
      </c>
      <c r="E58" s="19">
        <v>0</v>
      </c>
      <c r="F58" s="29">
        <v>0</v>
      </c>
      <c r="G58" s="33">
        <v>0</v>
      </c>
      <c r="H58" s="32">
        <v>3</v>
      </c>
      <c r="I58" s="19">
        <v>0</v>
      </c>
      <c r="J58" s="19">
        <v>0</v>
      </c>
      <c r="K58" s="39">
        <v>1.3</v>
      </c>
      <c r="L58" s="40"/>
      <c r="M58" s="19">
        <v>0</v>
      </c>
      <c r="N58" s="19">
        <v>0</v>
      </c>
      <c r="O58" s="19">
        <v>10.5</v>
      </c>
      <c r="P58" s="19">
        <v>0</v>
      </c>
      <c r="Q58" s="19">
        <v>1.6</v>
      </c>
      <c r="R58" s="19">
        <v>0</v>
      </c>
      <c r="S58" s="19">
        <v>0</v>
      </c>
      <c r="T58" s="19">
        <v>0</v>
      </c>
      <c r="U58" s="38">
        <v>5</v>
      </c>
      <c r="V58" s="38"/>
      <c r="W58" s="38"/>
      <c r="X58" s="33">
        <v>0</v>
      </c>
      <c r="Y58" s="19">
        <v>5</v>
      </c>
      <c r="Z58" s="19">
        <v>3</v>
      </c>
      <c r="AA58" s="33">
        <v>0</v>
      </c>
      <c r="AB58" s="19">
        <v>0</v>
      </c>
      <c r="AC58" s="20">
        <v>0</v>
      </c>
      <c r="AD58" s="20">
        <v>0</v>
      </c>
      <c r="AE58" s="20">
        <v>0</v>
      </c>
      <c r="AF58" s="20">
        <f t="shared" si="4"/>
        <v>29.4</v>
      </c>
      <c r="AG58" s="20">
        <f t="shared" si="5"/>
        <v>8.82</v>
      </c>
      <c r="AH58" s="25">
        <v>79.0364</v>
      </c>
      <c r="AI58" s="25">
        <f t="shared" si="6"/>
        <v>55.32548</v>
      </c>
      <c r="AJ58" s="20">
        <v>0.25</v>
      </c>
      <c r="AK58" s="25">
        <f t="shared" si="7"/>
        <v>64.39548</v>
      </c>
    </row>
    <row r="59" spans="1:37">
      <c r="A59" s="18">
        <v>2511410229</v>
      </c>
      <c r="B59" s="18" t="s">
        <v>101</v>
      </c>
      <c r="C59" s="18" t="s">
        <v>75</v>
      </c>
      <c r="D59" s="19">
        <v>2</v>
      </c>
      <c r="E59" s="19">
        <v>2</v>
      </c>
      <c r="F59" s="29">
        <v>0</v>
      </c>
      <c r="G59" s="33">
        <v>2</v>
      </c>
      <c r="H59" s="32">
        <v>1</v>
      </c>
      <c r="I59" s="19">
        <v>0</v>
      </c>
      <c r="J59" s="19">
        <v>0</v>
      </c>
      <c r="K59" s="39">
        <v>0.3</v>
      </c>
      <c r="L59" s="40"/>
      <c r="M59" s="19">
        <v>0</v>
      </c>
      <c r="N59" s="19">
        <v>0</v>
      </c>
      <c r="O59" s="19">
        <v>9</v>
      </c>
      <c r="P59" s="19">
        <v>2</v>
      </c>
      <c r="Q59" s="19">
        <v>1.2</v>
      </c>
      <c r="R59" s="19">
        <v>2</v>
      </c>
      <c r="S59" s="19">
        <v>2</v>
      </c>
      <c r="T59" s="19">
        <v>2</v>
      </c>
      <c r="U59" s="38">
        <v>5</v>
      </c>
      <c r="V59" s="38"/>
      <c r="W59" s="38"/>
      <c r="X59" s="33">
        <v>0</v>
      </c>
      <c r="Y59" s="19">
        <v>4</v>
      </c>
      <c r="Z59" s="19">
        <v>6</v>
      </c>
      <c r="AA59" s="33">
        <v>0</v>
      </c>
      <c r="AB59" s="19">
        <v>0</v>
      </c>
      <c r="AC59" s="20">
        <v>0</v>
      </c>
      <c r="AD59" s="20">
        <v>0</v>
      </c>
      <c r="AE59" s="20">
        <v>0</v>
      </c>
      <c r="AF59" s="20">
        <f t="shared" si="4"/>
        <v>40.5</v>
      </c>
      <c r="AG59" s="20">
        <f t="shared" si="5"/>
        <v>12.15</v>
      </c>
      <c r="AH59" s="25">
        <v>75.0727</v>
      </c>
      <c r="AI59" s="25">
        <f t="shared" si="6"/>
        <v>52.55089</v>
      </c>
      <c r="AJ59" s="20">
        <v>0</v>
      </c>
      <c r="AK59" s="25">
        <f t="shared" si="7"/>
        <v>64.70089</v>
      </c>
    </row>
    <row r="60" spans="1:37">
      <c r="A60" s="18">
        <v>2511410229</v>
      </c>
      <c r="B60" s="18" t="s">
        <v>102</v>
      </c>
      <c r="C60" s="18" t="s">
        <v>75</v>
      </c>
      <c r="D60" s="19">
        <v>0</v>
      </c>
      <c r="E60" s="19">
        <v>0</v>
      </c>
      <c r="F60" s="29">
        <v>0</v>
      </c>
      <c r="G60" s="33">
        <v>3</v>
      </c>
      <c r="H60" s="32">
        <v>2</v>
      </c>
      <c r="I60" s="19">
        <v>0</v>
      </c>
      <c r="J60" s="19">
        <v>0</v>
      </c>
      <c r="K60" s="39">
        <v>1.3</v>
      </c>
      <c r="L60" s="40"/>
      <c r="M60" s="19">
        <v>0</v>
      </c>
      <c r="N60" s="19">
        <v>0</v>
      </c>
      <c r="O60" s="19">
        <v>10.5</v>
      </c>
      <c r="P60" s="19">
        <v>0</v>
      </c>
      <c r="Q60" s="19">
        <v>1.6</v>
      </c>
      <c r="R60" s="19">
        <v>0</v>
      </c>
      <c r="S60" s="19">
        <v>0</v>
      </c>
      <c r="T60" s="19">
        <v>0</v>
      </c>
      <c r="U60" s="38">
        <v>5</v>
      </c>
      <c r="V60" s="38"/>
      <c r="W60" s="38"/>
      <c r="X60" s="32">
        <v>3</v>
      </c>
      <c r="Y60" s="19">
        <v>3</v>
      </c>
      <c r="Z60" s="19">
        <v>3</v>
      </c>
      <c r="AA60" s="32">
        <v>3</v>
      </c>
      <c r="AB60" s="19">
        <v>0</v>
      </c>
      <c r="AC60" s="20">
        <v>0</v>
      </c>
      <c r="AD60" s="20">
        <v>0</v>
      </c>
      <c r="AE60" s="20">
        <v>0</v>
      </c>
      <c r="AF60" s="20">
        <f t="shared" si="4"/>
        <v>35.4</v>
      </c>
      <c r="AG60" s="20">
        <f t="shared" si="5"/>
        <v>10.62</v>
      </c>
      <c r="AH60" s="25">
        <v>76.2</v>
      </c>
      <c r="AI60" s="25">
        <f t="shared" si="6"/>
        <v>53.34</v>
      </c>
      <c r="AJ60" s="20">
        <v>0</v>
      </c>
      <c r="AK60" s="25">
        <f t="shared" si="7"/>
        <v>63.96</v>
      </c>
    </row>
    <row r="61" spans="1:37">
      <c r="A61" s="18">
        <v>2511410230</v>
      </c>
      <c r="B61" s="18" t="s">
        <v>103</v>
      </c>
      <c r="C61" s="18" t="s">
        <v>75</v>
      </c>
      <c r="D61" s="19">
        <v>0</v>
      </c>
      <c r="E61" s="19">
        <v>0</v>
      </c>
      <c r="F61" s="29">
        <v>0</v>
      </c>
      <c r="G61" s="33">
        <v>4</v>
      </c>
      <c r="H61" s="32">
        <v>1</v>
      </c>
      <c r="I61" s="19">
        <v>0</v>
      </c>
      <c r="J61" s="19">
        <v>0</v>
      </c>
      <c r="K61" s="39">
        <v>0.3</v>
      </c>
      <c r="L61" s="40"/>
      <c r="M61" s="19">
        <v>0</v>
      </c>
      <c r="N61" s="19">
        <v>0</v>
      </c>
      <c r="O61" s="19">
        <v>9</v>
      </c>
      <c r="P61" s="19">
        <v>0</v>
      </c>
      <c r="Q61" s="19">
        <v>1.2</v>
      </c>
      <c r="R61" s="19">
        <v>0</v>
      </c>
      <c r="S61" s="19">
        <v>0</v>
      </c>
      <c r="T61" s="19">
        <v>0</v>
      </c>
      <c r="U61" s="38">
        <v>5</v>
      </c>
      <c r="V61" s="38"/>
      <c r="W61" s="38"/>
      <c r="X61" s="33">
        <v>0</v>
      </c>
      <c r="Y61" s="19">
        <v>3</v>
      </c>
      <c r="Z61" s="19">
        <v>6</v>
      </c>
      <c r="AA61" s="33">
        <v>0</v>
      </c>
      <c r="AB61" s="19">
        <v>3</v>
      </c>
      <c r="AC61" s="20">
        <v>0</v>
      </c>
      <c r="AD61" s="20">
        <v>0</v>
      </c>
      <c r="AE61" s="20">
        <v>0</v>
      </c>
      <c r="AF61" s="20">
        <f t="shared" si="4"/>
        <v>32.5</v>
      </c>
      <c r="AG61" s="20">
        <f t="shared" si="5"/>
        <v>9.75</v>
      </c>
      <c r="AH61" s="25">
        <v>72.5273</v>
      </c>
      <c r="AI61" s="25">
        <f t="shared" si="6"/>
        <v>50.76911</v>
      </c>
      <c r="AJ61" s="20">
        <v>0</v>
      </c>
      <c r="AK61" s="25">
        <f t="shared" si="7"/>
        <v>60.51911</v>
      </c>
    </row>
    <row r="62" spans="1:37">
      <c r="F62" s="1" t="s">
        <v>104</v>
      </c>
      <c r="AH62" s="45"/>
      <c r="AI62" s="45"/>
    </row>
    <row r="63" spans="1:37">
      <c r="F63" s="1" t="s">
        <v>104</v>
      </c>
      <c r="AH63" s="46"/>
      <c r="AI63" s="46"/>
    </row>
  </sheetData>
  <mergeCells count="152">
    <mergeCell ref="A1:AK1"/>
    <mergeCell ref="D2:E2"/>
    <mergeCell ref="F2:I2"/>
    <mergeCell ref="J2:N2"/>
    <mergeCell ref="O2:Q2"/>
    <mergeCell ref="R2:T2"/>
    <mergeCell ref="X2:AB2"/>
    <mergeCell ref="AC2:AE2"/>
    <mergeCell ref="G3:I3"/>
    <mergeCell ref="K3:N3"/>
    <mergeCell ref="S3:T3"/>
    <mergeCell ref="K4:L4"/>
    <mergeCell ref="K5:L5"/>
    <mergeCell ref="U5:W5"/>
    <mergeCell ref="K6:L6"/>
    <mergeCell ref="U6:W6"/>
    <mergeCell ref="K7:L7"/>
    <mergeCell ref="U7:W7"/>
    <mergeCell ref="K8:L8"/>
    <mergeCell ref="U8:W8"/>
    <mergeCell ref="K9:L9"/>
    <mergeCell ref="U9:W9"/>
    <mergeCell ref="K10:L10"/>
    <mergeCell ref="U10:W10"/>
    <mergeCell ref="K11:L11"/>
    <mergeCell ref="U11:W11"/>
    <mergeCell ref="K12:L12"/>
    <mergeCell ref="U12:W12"/>
    <mergeCell ref="K13:L13"/>
    <mergeCell ref="U13:W13"/>
    <mergeCell ref="K14:L14"/>
    <mergeCell ref="U14:W14"/>
    <mergeCell ref="K15:L15"/>
    <mergeCell ref="U15:W15"/>
    <mergeCell ref="K16:L16"/>
    <mergeCell ref="U16:W16"/>
    <mergeCell ref="K17:L17"/>
    <mergeCell ref="U17:W17"/>
    <mergeCell ref="K18:L18"/>
    <mergeCell ref="U18:W18"/>
    <mergeCell ref="K19:L19"/>
    <mergeCell ref="U19:W19"/>
    <mergeCell ref="K20:L20"/>
    <mergeCell ref="U20:W20"/>
    <mergeCell ref="K21:L21"/>
    <mergeCell ref="U21:W21"/>
    <mergeCell ref="K22:L22"/>
    <mergeCell ref="U22:W22"/>
    <mergeCell ref="K23:L23"/>
    <mergeCell ref="U23:W23"/>
    <mergeCell ref="K24:L24"/>
    <mergeCell ref="U24:W24"/>
    <mergeCell ref="K25:L25"/>
    <mergeCell ref="U25:W25"/>
    <mergeCell ref="K26:L26"/>
    <mergeCell ref="U26:W26"/>
    <mergeCell ref="K27:L27"/>
    <mergeCell ref="U27:W27"/>
    <mergeCell ref="K28:L28"/>
    <mergeCell ref="U28:W28"/>
    <mergeCell ref="K29:L29"/>
    <mergeCell ref="U29:W29"/>
    <mergeCell ref="K30:L30"/>
    <mergeCell ref="U30:W30"/>
    <mergeCell ref="K31:L31"/>
    <mergeCell ref="U31:W31"/>
    <mergeCell ref="K32:L32"/>
    <mergeCell ref="U32:W32"/>
    <mergeCell ref="K33:L33"/>
    <mergeCell ref="U33:W33"/>
    <mergeCell ref="K34:L34"/>
    <mergeCell ref="U34:W34"/>
    <mergeCell ref="K35:L35"/>
    <mergeCell ref="U35:W35"/>
    <mergeCell ref="K36:L36"/>
    <mergeCell ref="U36:W36"/>
    <mergeCell ref="K37:L37"/>
    <mergeCell ref="U37:W37"/>
    <mergeCell ref="K38:L38"/>
    <mergeCell ref="U38:W38"/>
    <mergeCell ref="K39:L39"/>
    <mergeCell ref="U39:W39"/>
    <mergeCell ref="K40:L40"/>
    <mergeCell ref="U40:W40"/>
    <mergeCell ref="K41:L41"/>
    <mergeCell ref="U41:W41"/>
    <mergeCell ref="K42:L42"/>
    <mergeCell ref="U42:W42"/>
    <mergeCell ref="K43:L43"/>
    <mergeCell ref="U43:W43"/>
    <mergeCell ref="K44:L44"/>
    <mergeCell ref="U44:W44"/>
    <mergeCell ref="K45:L45"/>
    <mergeCell ref="U45:W45"/>
    <mergeCell ref="K46:L46"/>
    <mergeCell ref="U46:W46"/>
    <mergeCell ref="K47:L47"/>
    <mergeCell ref="U47:W47"/>
    <mergeCell ref="K48:L48"/>
    <mergeCell ref="U48:W48"/>
    <mergeCell ref="K49:L49"/>
    <mergeCell ref="U49:W49"/>
    <mergeCell ref="K50:L50"/>
    <mergeCell ref="U50:W50"/>
    <mergeCell ref="K51:L51"/>
    <mergeCell ref="U51:W51"/>
    <mergeCell ref="K52:L52"/>
    <mergeCell ref="U52:W52"/>
    <mergeCell ref="K53:L53"/>
    <mergeCell ref="U53:W53"/>
    <mergeCell ref="K54:L54"/>
    <mergeCell ref="U54:W54"/>
    <mergeCell ref="K55:L55"/>
    <mergeCell ref="U55:W55"/>
    <mergeCell ref="K56:L56"/>
    <mergeCell ref="U56:W56"/>
    <mergeCell ref="K57:L57"/>
    <mergeCell ref="U57:W57"/>
    <mergeCell ref="K58:L58"/>
    <mergeCell ref="U58:W58"/>
    <mergeCell ref="K59:L59"/>
    <mergeCell ref="U59:W59"/>
    <mergeCell ref="K60:L60"/>
    <mergeCell ref="U60:W60"/>
    <mergeCell ref="K61:L61"/>
    <mergeCell ref="U61:W61"/>
    <mergeCell ref="A2:A4"/>
    <mergeCell ref="B2:B4"/>
    <mergeCell ref="C2:C4"/>
    <mergeCell ref="D3:D4"/>
    <mergeCell ref="E3:E4"/>
    <mergeCell ref="F3:F4"/>
    <mergeCell ref="J3:J4"/>
    <mergeCell ref="O3:O4"/>
    <mergeCell ref="P3:P4"/>
    <mergeCell ref="Q3:Q4"/>
    <mergeCell ref="R3:R4"/>
    <mergeCell ref="X3:X4"/>
    <mergeCell ref="Y3:Y4"/>
    <mergeCell ref="Z3:Z4"/>
    <mergeCell ref="AA3:AA4"/>
    <mergeCell ref="AB3:AB4"/>
    <mergeCell ref="AC3:AC4"/>
    <mergeCell ref="AD3:AD4"/>
    <mergeCell ref="AE3:AE4"/>
    <mergeCell ref="AF2:AF4"/>
    <mergeCell ref="AG2:AG4"/>
    <mergeCell ref="AH2:AH4"/>
    <mergeCell ref="AI2:AI4"/>
    <mergeCell ref="AJ2:AJ4"/>
    <mergeCell ref="AK2:AK4"/>
    <mergeCell ref="U2:W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72"/>
  <sheetViews>
    <sheetView zoomScale="85" zoomScaleNormal="85" topLeftCell="J1" workbookViewId="0">
      <selection activeCell="AK5" sqref="AK5:AK34"/>
    </sheetView>
  </sheetViews>
  <sheetFormatPr defaultColWidth="9" defaultRowHeight="14"/>
  <cols>
    <col min="1" max="1" width="16.2181818181818" style="1" customWidth="1"/>
    <col min="2" max="2" width="10.3363636363636" style="1" customWidth="1"/>
    <col min="3" max="3" width="15" style="1" customWidth="1"/>
    <col min="4" max="4" width="9" style="1"/>
    <col min="5" max="5" width="12.3363636363636" style="1" customWidth="1"/>
    <col min="6" max="36" width="9" style="1"/>
    <col min="37" max="37" width="9.54545454545454" style="1"/>
    <col min="38" max="16384" width="9" style="1"/>
  </cols>
  <sheetData>
    <row r="1" spans="1:37">
      <c r="A1" s="2" t="s">
        <v>105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>
      <c r="A2" s="3" t="s">
        <v>1</v>
      </c>
      <c r="B2" s="3" t="s">
        <v>2</v>
      </c>
      <c r="C2" s="3" t="s">
        <v>3</v>
      </c>
      <c r="D2" s="4" t="s">
        <v>4</v>
      </c>
      <c r="E2" s="5"/>
      <c r="F2" s="4" t="s">
        <v>5</v>
      </c>
      <c r="G2" s="5"/>
      <c r="H2" s="5"/>
      <c r="I2" s="5"/>
      <c r="J2" s="4" t="s">
        <v>6</v>
      </c>
      <c r="K2" s="4"/>
      <c r="L2" s="4"/>
      <c r="M2" s="4"/>
      <c r="N2" s="4"/>
      <c r="O2" s="4" t="s">
        <v>7</v>
      </c>
      <c r="P2" s="5"/>
      <c r="Q2" s="5"/>
      <c r="R2" s="4" t="s">
        <v>8</v>
      </c>
      <c r="S2" s="4"/>
      <c r="T2" s="5"/>
      <c r="U2" s="6" t="s">
        <v>9</v>
      </c>
      <c r="V2" s="7"/>
      <c r="W2" s="8"/>
      <c r="X2" s="4" t="s">
        <v>10</v>
      </c>
      <c r="Y2" s="4"/>
      <c r="Z2" s="4"/>
      <c r="AA2" s="4"/>
      <c r="AB2" s="4"/>
      <c r="AC2" s="5" t="s">
        <v>11</v>
      </c>
      <c r="AD2" s="5"/>
      <c r="AE2" s="5"/>
      <c r="AF2" s="4" t="s">
        <v>12</v>
      </c>
      <c r="AG2" s="4" t="s">
        <v>13</v>
      </c>
      <c r="AH2" s="4" t="s">
        <v>14</v>
      </c>
      <c r="AI2" s="4" t="s">
        <v>15</v>
      </c>
      <c r="AJ2" s="2" t="s">
        <v>16</v>
      </c>
      <c r="AK2" s="9" t="s">
        <v>17</v>
      </c>
    </row>
    <row r="3" spans="1:37">
      <c r="A3" s="3"/>
      <c r="B3" s="3"/>
      <c r="C3" s="3"/>
      <c r="D3" s="4" t="s">
        <v>18</v>
      </c>
      <c r="E3" s="4" t="s">
        <v>19</v>
      </c>
      <c r="F3" s="4" t="s">
        <v>20</v>
      </c>
      <c r="G3" s="4" t="s">
        <v>21</v>
      </c>
      <c r="H3" s="4"/>
      <c r="I3" s="4"/>
      <c r="J3" s="4" t="s">
        <v>22</v>
      </c>
      <c r="K3" s="5" t="s">
        <v>23</v>
      </c>
      <c r="L3" s="5"/>
      <c r="M3" s="5"/>
      <c r="N3" s="5"/>
      <c r="O3" s="3" t="s">
        <v>24</v>
      </c>
      <c r="P3" s="3" t="s">
        <v>25</v>
      </c>
      <c r="Q3" s="3" t="s">
        <v>26</v>
      </c>
      <c r="R3" s="3" t="s">
        <v>27</v>
      </c>
      <c r="S3" s="3" t="s">
        <v>28</v>
      </c>
      <c r="T3" s="3"/>
      <c r="U3" s="10"/>
      <c r="V3" s="11"/>
      <c r="W3" s="12"/>
      <c r="X3" s="3" t="s">
        <v>29</v>
      </c>
      <c r="Y3" s="3" t="s">
        <v>30</v>
      </c>
      <c r="Z3" s="3" t="s">
        <v>31</v>
      </c>
      <c r="AA3" s="3" t="s">
        <v>32</v>
      </c>
      <c r="AB3" s="3" t="s">
        <v>33</v>
      </c>
      <c r="AC3" s="3" t="s">
        <v>34</v>
      </c>
      <c r="AD3" s="3" t="s">
        <v>35</v>
      </c>
      <c r="AE3" s="3" t="s">
        <v>36</v>
      </c>
      <c r="AF3" s="4"/>
      <c r="AG3" s="4"/>
      <c r="AH3" s="4"/>
      <c r="AI3" s="4"/>
      <c r="AJ3" s="2"/>
      <c r="AK3" s="9"/>
    </row>
    <row r="4" ht="42" spans="1:37">
      <c r="A4" s="3"/>
      <c r="B4" s="3"/>
      <c r="C4" s="3"/>
      <c r="D4" s="13"/>
      <c r="E4" s="13"/>
      <c r="F4" s="13"/>
      <c r="G4" s="14" t="s">
        <v>37</v>
      </c>
      <c r="H4" s="14" t="s">
        <v>38</v>
      </c>
      <c r="I4" s="14" t="s">
        <v>39</v>
      </c>
      <c r="J4" s="13"/>
      <c r="K4" s="14" t="s">
        <v>40</v>
      </c>
      <c r="L4" s="14"/>
      <c r="M4" s="14" t="s">
        <v>41</v>
      </c>
      <c r="N4" s="14" t="s">
        <v>42</v>
      </c>
      <c r="O4" s="15"/>
      <c r="P4" s="14"/>
      <c r="Q4" s="14"/>
      <c r="R4" s="15"/>
      <c r="S4" s="14" t="s">
        <v>43</v>
      </c>
      <c r="T4" s="16" t="s">
        <v>44</v>
      </c>
      <c r="U4" s="10"/>
      <c r="V4" s="11"/>
      <c r="W4" s="12"/>
      <c r="X4" s="15"/>
      <c r="Y4" s="15"/>
      <c r="Z4" s="15"/>
      <c r="AA4" s="15"/>
      <c r="AB4" s="14"/>
      <c r="AC4" s="14"/>
      <c r="AD4" s="14"/>
      <c r="AE4" s="14"/>
      <c r="AF4" s="17"/>
      <c r="AG4" s="17"/>
      <c r="AH4" s="17"/>
      <c r="AI4" s="17"/>
      <c r="AJ4" s="15"/>
      <c r="AK4" s="9"/>
    </row>
    <row r="5" spans="1:37">
      <c r="A5" s="18">
        <v>2511630101</v>
      </c>
      <c r="B5" s="18" t="s">
        <v>106</v>
      </c>
      <c r="C5" s="18" t="s">
        <v>107</v>
      </c>
      <c r="D5" s="19">
        <v>0</v>
      </c>
      <c r="E5" s="19">
        <v>0</v>
      </c>
      <c r="F5" s="29">
        <v>0</v>
      </c>
      <c r="G5" s="20">
        <v>5</v>
      </c>
      <c r="H5" s="20">
        <v>3</v>
      </c>
      <c r="I5" s="20">
        <v>0</v>
      </c>
      <c r="J5" s="20">
        <v>0</v>
      </c>
      <c r="K5" s="30">
        <v>1.6</v>
      </c>
      <c r="L5" s="31"/>
      <c r="M5" s="20">
        <v>0</v>
      </c>
      <c r="N5" s="20">
        <v>0</v>
      </c>
      <c r="O5" s="19">
        <v>7.5</v>
      </c>
      <c r="P5" s="19">
        <v>0</v>
      </c>
      <c r="Q5" s="19">
        <v>0.8</v>
      </c>
      <c r="R5" s="19">
        <v>0</v>
      </c>
      <c r="S5" s="19">
        <v>0</v>
      </c>
      <c r="T5" s="19">
        <v>0</v>
      </c>
      <c r="U5" s="32">
        <v>5</v>
      </c>
      <c r="V5" s="32"/>
      <c r="W5" s="32"/>
      <c r="X5" s="33">
        <v>0</v>
      </c>
      <c r="Y5" s="19">
        <v>3</v>
      </c>
      <c r="Z5" s="19">
        <v>0</v>
      </c>
      <c r="AA5" s="33">
        <v>0</v>
      </c>
      <c r="AB5" s="19">
        <v>4.5</v>
      </c>
      <c r="AC5" s="20">
        <v>0</v>
      </c>
      <c r="AD5" s="20">
        <v>0</v>
      </c>
      <c r="AE5" s="20">
        <v>0</v>
      </c>
      <c r="AF5" s="20">
        <f t="shared" ref="AF5:AF34" si="0">SUM(D5:AE5)</f>
        <v>30.4</v>
      </c>
      <c r="AG5" s="20">
        <f>AF5*0.3</f>
        <v>9.12</v>
      </c>
      <c r="AH5" s="25">
        <v>89.3922</v>
      </c>
      <c r="AI5" s="25">
        <f>AH5*0.7</f>
        <v>62.57454</v>
      </c>
      <c r="AJ5" s="20">
        <v>0</v>
      </c>
      <c r="AK5" s="25">
        <f>((AG5+AI5+AJ5)-0)+0</f>
        <v>71.69454</v>
      </c>
    </row>
    <row r="6" spans="1:37">
      <c r="A6" s="18">
        <v>2511630102</v>
      </c>
      <c r="B6" s="18" t="s">
        <v>108</v>
      </c>
      <c r="C6" s="18" t="s">
        <v>107</v>
      </c>
      <c r="D6" s="19">
        <v>0</v>
      </c>
      <c r="E6" s="19">
        <v>0</v>
      </c>
      <c r="F6" s="29">
        <v>0</v>
      </c>
      <c r="G6" s="20">
        <v>3</v>
      </c>
      <c r="H6" s="20">
        <v>2</v>
      </c>
      <c r="I6" s="20">
        <v>0</v>
      </c>
      <c r="J6" s="20">
        <v>0</v>
      </c>
      <c r="K6" s="30">
        <v>0.6</v>
      </c>
      <c r="L6" s="31"/>
      <c r="M6" s="20">
        <v>0</v>
      </c>
      <c r="N6" s="20">
        <v>0</v>
      </c>
      <c r="O6" s="19">
        <v>7.5</v>
      </c>
      <c r="P6" s="19">
        <v>0</v>
      </c>
      <c r="Q6" s="19">
        <v>0.8</v>
      </c>
      <c r="R6" s="19">
        <v>0</v>
      </c>
      <c r="S6" s="19">
        <v>0</v>
      </c>
      <c r="T6" s="19">
        <v>0</v>
      </c>
      <c r="U6" s="32">
        <v>5</v>
      </c>
      <c r="V6" s="32"/>
      <c r="W6" s="32"/>
      <c r="X6" s="32">
        <v>3</v>
      </c>
      <c r="Y6" s="19">
        <v>3</v>
      </c>
      <c r="Z6" s="19">
        <v>0</v>
      </c>
      <c r="AA6" s="32">
        <v>3</v>
      </c>
      <c r="AB6" s="19">
        <v>0.5</v>
      </c>
      <c r="AC6" s="20">
        <v>0</v>
      </c>
      <c r="AD6" s="20">
        <v>0</v>
      </c>
      <c r="AE6" s="20">
        <v>0</v>
      </c>
      <c r="AF6" s="20">
        <f t="shared" si="0"/>
        <v>28.4</v>
      </c>
      <c r="AG6" s="20">
        <f t="shared" ref="AG6:AG34" si="1">AF6*0.3</f>
        <v>8.52</v>
      </c>
      <c r="AH6" s="25">
        <v>71.0784</v>
      </c>
      <c r="AI6" s="25">
        <f t="shared" ref="AI6:AI34" si="2">AH6*0.7</f>
        <v>49.75488</v>
      </c>
      <c r="AJ6" s="20">
        <v>0</v>
      </c>
      <c r="AK6" s="25">
        <f t="shared" ref="AK6:AK34" si="3">((AG6+AI6+AJ6)-0)+0</f>
        <v>58.27488</v>
      </c>
    </row>
    <row r="7" spans="1:37">
      <c r="A7" s="18">
        <v>2511630103</v>
      </c>
      <c r="B7" s="18" t="s">
        <v>109</v>
      </c>
      <c r="C7" s="18" t="s">
        <v>107</v>
      </c>
      <c r="D7" s="19">
        <v>0</v>
      </c>
      <c r="E7" s="19">
        <v>0</v>
      </c>
      <c r="F7" s="29">
        <v>0</v>
      </c>
      <c r="G7" s="20">
        <v>3</v>
      </c>
      <c r="H7" s="20">
        <v>2</v>
      </c>
      <c r="I7" s="20">
        <v>0</v>
      </c>
      <c r="J7" s="20">
        <v>0</v>
      </c>
      <c r="K7" s="30">
        <v>0.6</v>
      </c>
      <c r="L7" s="31"/>
      <c r="M7" s="20">
        <v>0</v>
      </c>
      <c r="N7" s="20">
        <v>0</v>
      </c>
      <c r="O7" s="19">
        <v>7.5</v>
      </c>
      <c r="P7" s="19">
        <v>0</v>
      </c>
      <c r="Q7" s="19">
        <v>0.8</v>
      </c>
      <c r="R7" s="19">
        <v>0</v>
      </c>
      <c r="S7" s="19">
        <v>0</v>
      </c>
      <c r="T7" s="19">
        <v>0</v>
      </c>
      <c r="U7" s="32">
        <v>5</v>
      </c>
      <c r="V7" s="32"/>
      <c r="W7" s="32"/>
      <c r="X7" s="32">
        <v>3</v>
      </c>
      <c r="Y7" s="19">
        <v>3</v>
      </c>
      <c r="Z7" s="19">
        <v>0</v>
      </c>
      <c r="AA7" s="32">
        <v>3</v>
      </c>
      <c r="AB7" s="19">
        <v>0</v>
      </c>
      <c r="AC7" s="20">
        <v>0</v>
      </c>
      <c r="AD7" s="20">
        <v>0</v>
      </c>
      <c r="AE7" s="20">
        <v>0</v>
      </c>
      <c r="AF7" s="20">
        <f t="shared" si="0"/>
        <v>27.9</v>
      </c>
      <c r="AG7" s="20">
        <f t="shared" si="1"/>
        <v>8.37</v>
      </c>
      <c r="AH7" s="25">
        <v>62.5686</v>
      </c>
      <c r="AI7" s="25">
        <f t="shared" si="2"/>
        <v>43.79802</v>
      </c>
      <c r="AJ7" s="20">
        <v>0</v>
      </c>
      <c r="AK7" s="25">
        <f t="shared" si="3"/>
        <v>52.16802</v>
      </c>
    </row>
    <row r="8" spans="1:37">
      <c r="A8" s="18">
        <v>2511630104</v>
      </c>
      <c r="B8" s="18" t="s">
        <v>110</v>
      </c>
      <c r="C8" s="18" t="s">
        <v>107</v>
      </c>
      <c r="D8" s="19">
        <v>0</v>
      </c>
      <c r="E8" s="19">
        <v>0</v>
      </c>
      <c r="F8" s="29">
        <v>0</v>
      </c>
      <c r="G8" s="20">
        <v>4</v>
      </c>
      <c r="H8" s="20">
        <v>2</v>
      </c>
      <c r="I8" s="20">
        <v>0</v>
      </c>
      <c r="J8" s="20">
        <v>0</v>
      </c>
      <c r="K8" s="30">
        <v>1.6</v>
      </c>
      <c r="L8" s="31"/>
      <c r="M8" s="20">
        <v>0</v>
      </c>
      <c r="N8" s="20">
        <v>0</v>
      </c>
      <c r="O8" s="19">
        <v>7.5</v>
      </c>
      <c r="P8" s="19">
        <v>0</v>
      </c>
      <c r="Q8" s="19">
        <v>0.8</v>
      </c>
      <c r="R8" s="19">
        <v>0</v>
      </c>
      <c r="S8" s="19">
        <v>0</v>
      </c>
      <c r="T8" s="19">
        <v>0</v>
      </c>
      <c r="U8" s="32">
        <v>5</v>
      </c>
      <c r="V8" s="32"/>
      <c r="W8" s="32"/>
      <c r="X8" s="33">
        <v>0</v>
      </c>
      <c r="Y8" s="34">
        <v>3</v>
      </c>
      <c r="Z8" s="19">
        <v>0</v>
      </c>
      <c r="AA8" s="33">
        <v>0</v>
      </c>
      <c r="AB8" s="19">
        <v>0</v>
      </c>
      <c r="AC8" s="20">
        <v>2</v>
      </c>
      <c r="AD8" s="20">
        <v>4</v>
      </c>
      <c r="AE8" s="20">
        <v>2</v>
      </c>
      <c r="AF8" s="20">
        <f t="shared" si="0"/>
        <v>31.9</v>
      </c>
      <c r="AG8" s="20">
        <f t="shared" si="1"/>
        <v>9.57</v>
      </c>
      <c r="AH8" s="25">
        <v>73.7451</v>
      </c>
      <c r="AI8" s="25">
        <f t="shared" si="2"/>
        <v>51.62157</v>
      </c>
      <c r="AJ8" s="20">
        <v>0</v>
      </c>
      <c r="AK8" s="25">
        <f t="shared" si="3"/>
        <v>61.19157</v>
      </c>
    </row>
    <row r="9" spans="1:37">
      <c r="A9" s="18">
        <v>2511630105</v>
      </c>
      <c r="B9" s="18" t="s">
        <v>111</v>
      </c>
      <c r="C9" s="18" t="s">
        <v>107</v>
      </c>
      <c r="D9" s="19">
        <v>0</v>
      </c>
      <c r="E9" s="19">
        <v>0</v>
      </c>
      <c r="F9" s="29">
        <v>0</v>
      </c>
      <c r="G9" s="20">
        <v>4</v>
      </c>
      <c r="H9" s="20">
        <v>3</v>
      </c>
      <c r="I9" s="20">
        <v>0</v>
      </c>
      <c r="J9" s="20">
        <v>0</v>
      </c>
      <c r="K9" s="30">
        <v>0.6</v>
      </c>
      <c r="L9" s="31"/>
      <c r="M9" s="20">
        <v>0</v>
      </c>
      <c r="N9" s="20">
        <v>0</v>
      </c>
      <c r="O9" s="19">
        <v>7.5</v>
      </c>
      <c r="P9" s="19">
        <v>0</v>
      </c>
      <c r="Q9" s="19">
        <v>0.8</v>
      </c>
      <c r="R9" s="19">
        <v>0</v>
      </c>
      <c r="S9" s="19">
        <v>0</v>
      </c>
      <c r="T9" s="19">
        <v>0</v>
      </c>
      <c r="U9" s="32">
        <v>5</v>
      </c>
      <c r="V9" s="32"/>
      <c r="W9" s="32"/>
      <c r="X9" s="32">
        <v>3</v>
      </c>
      <c r="Y9" s="19">
        <v>3</v>
      </c>
      <c r="Z9" s="19">
        <v>3</v>
      </c>
      <c r="AA9" s="32">
        <v>3</v>
      </c>
      <c r="AB9" s="19">
        <v>0</v>
      </c>
      <c r="AC9" s="20">
        <v>0</v>
      </c>
      <c r="AD9" s="20">
        <v>0</v>
      </c>
      <c r="AE9" s="20">
        <v>0</v>
      </c>
      <c r="AF9" s="20">
        <f t="shared" si="0"/>
        <v>32.9</v>
      </c>
      <c r="AG9" s="20">
        <f t="shared" si="1"/>
        <v>9.87</v>
      </c>
      <c r="AH9" s="25">
        <v>69.8627</v>
      </c>
      <c r="AI9" s="25">
        <f t="shared" si="2"/>
        <v>48.90389</v>
      </c>
      <c r="AJ9" s="20">
        <v>0</v>
      </c>
      <c r="AK9" s="25">
        <f t="shared" si="3"/>
        <v>58.77389</v>
      </c>
    </row>
    <row r="10" spans="1:37">
      <c r="A10" s="18">
        <v>2511630106</v>
      </c>
      <c r="B10" s="18" t="s">
        <v>112</v>
      </c>
      <c r="C10" s="18" t="s">
        <v>107</v>
      </c>
      <c r="D10" s="19">
        <v>0</v>
      </c>
      <c r="E10" s="19">
        <v>0</v>
      </c>
      <c r="F10" s="29">
        <v>0</v>
      </c>
      <c r="G10" s="20">
        <v>4</v>
      </c>
      <c r="H10" s="20">
        <v>2</v>
      </c>
      <c r="I10" s="20">
        <v>0</v>
      </c>
      <c r="J10" s="20">
        <v>0</v>
      </c>
      <c r="K10" s="30">
        <v>1.6</v>
      </c>
      <c r="L10" s="31"/>
      <c r="M10" s="20">
        <v>0</v>
      </c>
      <c r="N10" s="20">
        <v>0</v>
      </c>
      <c r="O10" s="19">
        <v>10.5</v>
      </c>
      <c r="P10" s="19">
        <v>0</v>
      </c>
      <c r="Q10" s="19">
        <v>1.6</v>
      </c>
      <c r="R10" s="19">
        <v>0</v>
      </c>
      <c r="S10" s="19">
        <v>0</v>
      </c>
      <c r="T10" s="19">
        <v>0</v>
      </c>
      <c r="U10" s="32">
        <v>5</v>
      </c>
      <c r="V10" s="32"/>
      <c r="W10" s="32"/>
      <c r="X10" s="33">
        <v>0</v>
      </c>
      <c r="Y10" s="19">
        <v>3</v>
      </c>
      <c r="Z10" s="19">
        <v>0.5</v>
      </c>
      <c r="AA10" s="33">
        <v>0</v>
      </c>
      <c r="AB10" s="19">
        <v>0</v>
      </c>
      <c r="AC10" s="20">
        <v>2</v>
      </c>
      <c r="AD10" s="20">
        <v>4</v>
      </c>
      <c r="AE10" s="20">
        <v>2</v>
      </c>
      <c r="AF10" s="20">
        <f t="shared" si="0"/>
        <v>36.2</v>
      </c>
      <c r="AG10" s="20">
        <f t="shared" si="1"/>
        <v>10.86</v>
      </c>
      <c r="AH10" s="25">
        <v>79.8627</v>
      </c>
      <c r="AI10" s="25">
        <f t="shared" si="2"/>
        <v>55.90389</v>
      </c>
      <c r="AJ10" s="20">
        <v>0</v>
      </c>
      <c r="AK10" s="25">
        <f t="shared" si="3"/>
        <v>66.76389</v>
      </c>
    </row>
    <row r="11" spans="1:37">
      <c r="A11" s="18">
        <v>2511630107</v>
      </c>
      <c r="B11" s="18" t="s">
        <v>113</v>
      </c>
      <c r="C11" s="18" t="s">
        <v>107</v>
      </c>
      <c r="D11" s="19">
        <v>0</v>
      </c>
      <c r="E11" s="19">
        <v>2</v>
      </c>
      <c r="F11" s="29">
        <v>1</v>
      </c>
      <c r="G11" s="20">
        <v>2</v>
      </c>
      <c r="H11" s="20">
        <v>3</v>
      </c>
      <c r="I11" s="20">
        <v>0</v>
      </c>
      <c r="J11" s="20">
        <v>0</v>
      </c>
      <c r="K11" s="30">
        <v>2.6</v>
      </c>
      <c r="L11" s="31"/>
      <c r="M11" s="20">
        <v>0</v>
      </c>
      <c r="N11" s="20">
        <v>1</v>
      </c>
      <c r="O11" s="19">
        <v>10.5</v>
      </c>
      <c r="P11" s="19">
        <v>0</v>
      </c>
      <c r="Q11" s="19">
        <v>1.6</v>
      </c>
      <c r="R11" s="19">
        <v>0</v>
      </c>
      <c r="S11" s="19">
        <v>2</v>
      </c>
      <c r="T11" s="19">
        <v>2</v>
      </c>
      <c r="U11" s="32">
        <v>5</v>
      </c>
      <c r="V11" s="32"/>
      <c r="W11" s="32"/>
      <c r="X11" s="33">
        <v>0</v>
      </c>
      <c r="Y11" s="19">
        <v>3</v>
      </c>
      <c r="Z11" s="19">
        <v>0.5</v>
      </c>
      <c r="AA11" s="33">
        <v>1</v>
      </c>
      <c r="AB11" s="19">
        <v>0</v>
      </c>
      <c r="AC11" s="20">
        <v>0</v>
      </c>
      <c r="AD11" s="20">
        <v>0</v>
      </c>
      <c r="AE11" s="20">
        <v>0</v>
      </c>
      <c r="AF11" s="20">
        <f t="shared" si="0"/>
        <v>37.2</v>
      </c>
      <c r="AG11" s="20">
        <f t="shared" si="1"/>
        <v>11.16</v>
      </c>
      <c r="AH11" s="25">
        <v>84.8824</v>
      </c>
      <c r="AI11" s="25">
        <f t="shared" si="2"/>
        <v>59.41768</v>
      </c>
      <c r="AJ11" s="20">
        <v>0.5</v>
      </c>
      <c r="AK11" s="25">
        <f t="shared" si="3"/>
        <v>71.07768</v>
      </c>
    </row>
    <row r="12" spans="1:37">
      <c r="A12" s="18">
        <v>2511630108</v>
      </c>
      <c r="B12" s="18" t="s">
        <v>114</v>
      </c>
      <c r="C12" s="18" t="s">
        <v>107</v>
      </c>
      <c r="D12" s="19">
        <v>0</v>
      </c>
      <c r="E12" s="19">
        <v>0</v>
      </c>
      <c r="F12" s="29">
        <v>0</v>
      </c>
      <c r="G12" s="20">
        <v>4</v>
      </c>
      <c r="H12" s="20">
        <v>1</v>
      </c>
      <c r="I12" s="20">
        <v>0</v>
      </c>
      <c r="J12" s="20">
        <v>0</v>
      </c>
      <c r="K12" s="30">
        <v>0.6</v>
      </c>
      <c r="L12" s="31"/>
      <c r="M12" s="20">
        <v>0</v>
      </c>
      <c r="N12" s="20">
        <v>0</v>
      </c>
      <c r="O12" s="19">
        <v>7.5</v>
      </c>
      <c r="P12" s="19">
        <v>0</v>
      </c>
      <c r="Q12" s="19">
        <v>0.8</v>
      </c>
      <c r="R12" s="19">
        <v>0</v>
      </c>
      <c r="S12" s="19">
        <v>0</v>
      </c>
      <c r="T12" s="19">
        <v>0</v>
      </c>
      <c r="U12" s="32">
        <v>5</v>
      </c>
      <c r="V12" s="32"/>
      <c r="W12" s="32"/>
      <c r="X12" s="32">
        <v>3</v>
      </c>
      <c r="Y12" s="19">
        <v>3</v>
      </c>
      <c r="Z12" s="19">
        <v>0</v>
      </c>
      <c r="AA12" s="32">
        <v>3</v>
      </c>
      <c r="AB12" s="19">
        <v>0</v>
      </c>
      <c r="AC12" s="20">
        <v>0</v>
      </c>
      <c r="AD12" s="20">
        <v>0</v>
      </c>
      <c r="AE12" s="20">
        <v>0</v>
      </c>
      <c r="AF12" s="20">
        <f t="shared" si="0"/>
        <v>27.9</v>
      </c>
      <c r="AG12" s="20">
        <f t="shared" si="1"/>
        <v>8.37</v>
      </c>
      <c r="AH12" s="25">
        <v>69.8235</v>
      </c>
      <c r="AI12" s="25">
        <f t="shared" si="2"/>
        <v>48.87645</v>
      </c>
      <c r="AJ12" s="20">
        <v>0.25</v>
      </c>
      <c r="AK12" s="25">
        <f t="shared" si="3"/>
        <v>57.49645</v>
      </c>
    </row>
    <row r="13" spans="1:37">
      <c r="A13" s="18">
        <v>2511630109</v>
      </c>
      <c r="B13" s="18" t="s">
        <v>115</v>
      </c>
      <c r="C13" s="18" t="s">
        <v>107</v>
      </c>
      <c r="D13" s="19">
        <v>0</v>
      </c>
      <c r="E13" s="19">
        <v>0</v>
      </c>
      <c r="F13" s="29">
        <v>0</v>
      </c>
      <c r="G13" s="20">
        <v>4</v>
      </c>
      <c r="H13" s="20">
        <v>3</v>
      </c>
      <c r="I13" s="20">
        <v>0</v>
      </c>
      <c r="J13" s="20">
        <v>0</v>
      </c>
      <c r="K13" s="30">
        <v>2.6</v>
      </c>
      <c r="L13" s="31"/>
      <c r="M13" s="20">
        <v>0</v>
      </c>
      <c r="N13" s="20">
        <v>0</v>
      </c>
      <c r="O13" s="19">
        <v>10.5</v>
      </c>
      <c r="P13" s="19">
        <v>0</v>
      </c>
      <c r="Q13" s="19">
        <v>1.6</v>
      </c>
      <c r="R13" s="19">
        <v>0</v>
      </c>
      <c r="S13" s="19">
        <v>0</v>
      </c>
      <c r="T13" s="19">
        <v>0.5</v>
      </c>
      <c r="U13" s="32">
        <v>5</v>
      </c>
      <c r="V13" s="32"/>
      <c r="W13" s="32"/>
      <c r="X13" s="32">
        <v>3</v>
      </c>
      <c r="Y13" s="19">
        <v>3</v>
      </c>
      <c r="Z13" s="19">
        <v>0</v>
      </c>
      <c r="AA13" s="32">
        <v>3</v>
      </c>
      <c r="AB13" s="19">
        <v>0</v>
      </c>
      <c r="AC13" s="20">
        <v>0</v>
      </c>
      <c r="AD13" s="20">
        <v>0</v>
      </c>
      <c r="AE13" s="20">
        <v>0</v>
      </c>
      <c r="AF13" s="20">
        <f t="shared" si="0"/>
        <v>36.2</v>
      </c>
      <c r="AG13" s="20">
        <f t="shared" si="1"/>
        <v>10.86</v>
      </c>
      <c r="AH13" s="25">
        <v>93.7059</v>
      </c>
      <c r="AI13" s="25">
        <f t="shared" si="2"/>
        <v>65.59413</v>
      </c>
      <c r="AJ13" s="20">
        <v>0.5</v>
      </c>
      <c r="AK13" s="25">
        <f t="shared" si="3"/>
        <v>76.95413</v>
      </c>
    </row>
    <row r="14" spans="1:37">
      <c r="A14" s="18">
        <v>2511630110</v>
      </c>
      <c r="B14" s="18" t="s">
        <v>116</v>
      </c>
      <c r="C14" s="18" t="s">
        <v>107</v>
      </c>
      <c r="D14" s="19">
        <v>0</v>
      </c>
      <c r="E14" s="19">
        <v>0</v>
      </c>
      <c r="F14" s="29">
        <v>1</v>
      </c>
      <c r="G14" s="20">
        <v>4</v>
      </c>
      <c r="H14" s="20">
        <v>3</v>
      </c>
      <c r="I14" s="20">
        <v>0</v>
      </c>
      <c r="J14" s="20">
        <v>0</v>
      </c>
      <c r="K14" s="30">
        <v>1.6</v>
      </c>
      <c r="L14" s="31"/>
      <c r="M14" s="20">
        <v>0</v>
      </c>
      <c r="N14" s="20">
        <v>1</v>
      </c>
      <c r="O14" s="19">
        <v>9</v>
      </c>
      <c r="P14" s="19">
        <v>0</v>
      </c>
      <c r="Q14" s="19">
        <v>1.2</v>
      </c>
      <c r="R14" s="19">
        <v>0</v>
      </c>
      <c r="S14" s="19">
        <v>0</v>
      </c>
      <c r="T14" s="19">
        <v>0</v>
      </c>
      <c r="U14" s="32">
        <v>5</v>
      </c>
      <c r="V14" s="32"/>
      <c r="W14" s="32"/>
      <c r="X14" s="33">
        <v>0</v>
      </c>
      <c r="Y14" s="19">
        <v>3</v>
      </c>
      <c r="Z14" s="19">
        <v>3</v>
      </c>
      <c r="AA14" s="33">
        <v>0</v>
      </c>
      <c r="AB14" s="19">
        <v>0</v>
      </c>
      <c r="AC14" s="20">
        <v>2</v>
      </c>
      <c r="AD14" s="20">
        <v>4</v>
      </c>
      <c r="AE14" s="20">
        <v>2</v>
      </c>
      <c r="AF14" s="20">
        <f t="shared" si="0"/>
        <v>39.8</v>
      </c>
      <c r="AG14" s="20">
        <f t="shared" si="1"/>
        <v>11.94</v>
      </c>
      <c r="AH14" s="25">
        <v>76.1373</v>
      </c>
      <c r="AI14" s="25">
        <f t="shared" si="2"/>
        <v>53.29611</v>
      </c>
      <c r="AJ14" s="20">
        <v>0.25</v>
      </c>
      <c r="AK14" s="25">
        <f t="shared" si="3"/>
        <v>65.48611</v>
      </c>
    </row>
    <row r="15" spans="1:37">
      <c r="A15" s="18">
        <v>2511630111</v>
      </c>
      <c r="B15" s="18" t="s">
        <v>117</v>
      </c>
      <c r="C15" s="18" t="s">
        <v>107</v>
      </c>
      <c r="D15" s="19">
        <v>0</v>
      </c>
      <c r="E15" s="19">
        <v>0</v>
      </c>
      <c r="F15" s="29">
        <v>0</v>
      </c>
      <c r="G15" s="20">
        <v>0</v>
      </c>
      <c r="H15" s="20">
        <v>2</v>
      </c>
      <c r="I15" s="20">
        <v>0</v>
      </c>
      <c r="J15" s="20">
        <v>0</v>
      </c>
      <c r="K15" s="30">
        <v>1.6</v>
      </c>
      <c r="L15" s="31"/>
      <c r="M15" s="20">
        <v>0</v>
      </c>
      <c r="N15" s="20">
        <v>0</v>
      </c>
      <c r="O15" s="19">
        <v>9</v>
      </c>
      <c r="P15" s="19">
        <v>0</v>
      </c>
      <c r="Q15" s="19">
        <v>1.2</v>
      </c>
      <c r="R15" s="19">
        <v>0</v>
      </c>
      <c r="S15" s="19">
        <v>0</v>
      </c>
      <c r="T15" s="19">
        <v>0</v>
      </c>
      <c r="U15" s="32">
        <v>5</v>
      </c>
      <c r="V15" s="32"/>
      <c r="W15" s="32"/>
      <c r="X15" s="33">
        <v>0</v>
      </c>
      <c r="Y15" s="19">
        <v>3</v>
      </c>
      <c r="Z15" s="19">
        <v>1.5</v>
      </c>
      <c r="AA15" s="33">
        <v>0</v>
      </c>
      <c r="AB15" s="19">
        <v>0</v>
      </c>
      <c r="AC15" s="20">
        <v>0</v>
      </c>
      <c r="AD15" s="20">
        <v>0</v>
      </c>
      <c r="AE15" s="20">
        <v>0</v>
      </c>
      <c r="AF15" s="20">
        <f t="shared" si="0"/>
        <v>23.3</v>
      </c>
      <c r="AG15" s="20">
        <f t="shared" si="1"/>
        <v>6.99</v>
      </c>
      <c r="AH15" s="25">
        <v>77.2353</v>
      </c>
      <c r="AI15" s="25">
        <f t="shared" si="2"/>
        <v>54.06471</v>
      </c>
      <c r="AJ15" s="20">
        <v>0</v>
      </c>
      <c r="AK15" s="25">
        <f t="shared" si="3"/>
        <v>61.05471</v>
      </c>
    </row>
    <row r="16" spans="1:37">
      <c r="A16" s="18">
        <v>2511630112</v>
      </c>
      <c r="B16" s="18" t="s">
        <v>118</v>
      </c>
      <c r="C16" s="18" t="s">
        <v>107</v>
      </c>
      <c r="D16" s="19">
        <v>0</v>
      </c>
      <c r="E16" s="19">
        <v>0</v>
      </c>
      <c r="F16" s="29">
        <v>0</v>
      </c>
      <c r="G16" s="20">
        <v>0</v>
      </c>
      <c r="H16" s="20">
        <v>1</v>
      </c>
      <c r="I16" s="20">
        <v>0</v>
      </c>
      <c r="J16" s="20">
        <v>0</v>
      </c>
      <c r="K16" s="30">
        <v>0.6</v>
      </c>
      <c r="L16" s="31"/>
      <c r="M16" s="20">
        <v>0</v>
      </c>
      <c r="N16" s="20">
        <v>0</v>
      </c>
      <c r="O16" s="19">
        <v>9</v>
      </c>
      <c r="P16" s="19">
        <v>0</v>
      </c>
      <c r="Q16" s="19">
        <v>1.2</v>
      </c>
      <c r="R16" s="19">
        <v>0</v>
      </c>
      <c r="S16" s="19">
        <v>0</v>
      </c>
      <c r="T16" s="19">
        <v>0</v>
      </c>
      <c r="U16" s="32">
        <v>5</v>
      </c>
      <c r="V16" s="32"/>
      <c r="W16" s="32"/>
      <c r="X16" s="33">
        <v>0</v>
      </c>
      <c r="Y16" s="19">
        <v>3</v>
      </c>
      <c r="Z16" s="19">
        <v>1</v>
      </c>
      <c r="AA16" s="33">
        <v>0</v>
      </c>
      <c r="AB16" s="19">
        <v>0</v>
      </c>
      <c r="AC16" s="20">
        <v>0</v>
      </c>
      <c r="AD16" s="20">
        <v>0</v>
      </c>
      <c r="AE16" s="20">
        <v>0</v>
      </c>
      <c r="AF16" s="20">
        <f t="shared" si="0"/>
        <v>20.8</v>
      </c>
      <c r="AG16" s="20">
        <f t="shared" si="1"/>
        <v>6.24</v>
      </c>
      <c r="AH16" s="25">
        <v>74.6471</v>
      </c>
      <c r="AI16" s="25">
        <f t="shared" si="2"/>
        <v>52.25297</v>
      </c>
      <c r="AJ16" s="20">
        <v>0</v>
      </c>
      <c r="AK16" s="25">
        <f t="shared" si="3"/>
        <v>58.49297</v>
      </c>
    </row>
    <row r="17" spans="1:37">
      <c r="A17" s="18">
        <v>2511630113</v>
      </c>
      <c r="B17" s="18" t="s">
        <v>119</v>
      </c>
      <c r="C17" s="18" t="s">
        <v>107</v>
      </c>
      <c r="D17" s="19">
        <v>0</v>
      </c>
      <c r="E17" s="19">
        <v>0</v>
      </c>
      <c r="F17" s="29">
        <v>2</v>
      </c>
      <c r="G17" s="20">
        <v>4</v>
      </c>
      <c r="H17" s="20">
        <v>3</v>
      </c>
      <c r="I17" s="20">
        <v>0</v>
      </c>
      <c r="J17" s="20">
        <v>0</v>
      </c>
      <c r="K17" s="30">
        <v>2.6</v>
      </c>
      <c r="L17" s="31"/>
      <c r="M17" s="20">
        <v>0</v>
      </c>
      <c r="N17" s="20">
        <v>1</v>
      </c>
      <c r="O17" s="19">
        <v>9</v>
      </c>
      <c r="P17" s="19">
        <v>0</v>
      </c>
      <c r="Q17" s="19">
        <v>1.2</v>
      </c>
      <c r="R17" s="19">
        <v>0</v>
      </c>
      <c r="S17" s="19">
        <v>0</v>
      </c>
      <c r="T17" s="19">
        <v>0.5</v>
      </c>
      <c r="U17" s="32">
        <v>5</v>
      </c>
      <c r="V17" s="32"/>
      <c r="W17" s="32"/>
      <c r="X17" s="33">
        <v>0</v>
      </c>
      <c r="Y17" s="19">
        <v>3</v>
      </c>
      <c r="Z17" s="19">
        <v>1</v>
      </c>
      <c r="AA17" s="33">
        <v>0</v>
      </c>
      <c r="AB17" s="19">
        <v>0</v>
      </c>
      <c r="AC17" s="20">
        <v>2</v>
      </c>
      <c r="AD17" s="20">
        <v>4</v>
      </c>
      <c r="AE17" s="20">
        <v>2</v>
      </c>
      <c r="AF17" s="20">
        <f t="shared" si="0"/>
        <v>40.3</v>
      </c>
      <c r="AG17" s="20">
        <f t="shared" si="1"/>
        <v>12.09</v>
      </c>
      <c r="AH17" s="25">
        <v>83.6667</v>
      </c>
      <c r="AI17" s="25">
        <f t="shared" si="2"/>
        <v>58.56669</v>
      </c>
      <c r="AJ17" s="20">
        <v>0.25</v>
      </c>
      <c r="AK17" s="25">
        <f t="shared" si="3"/>
        <v>70.90669</v>
      </c>
    </row>
    <row r="18" spans="1:37">
      <c r="A18" s="18">
        <v>2511630114</v>
      </c>
      <c r="B18" s="18" t="s">
        <v>120</v>
      </c>
      <c r="C18" s="18" t="s">
        <v>107</v>
      </c>
      <c r="D18" s="19">
        <v>0</v>
      </c>
      <c r="E18" s="19">
        <v>0</v>
      </c>
      <c r="F18" s="29">
        <v>0</v>
      </c>
      <c r="G18" s="20">
        <v>4</v>
      </c>
      <c r="H18" s="20">
        <v>3</v>
      </c>
      <c r="I18" s="20">
        <v>0</v>
      </c>
      <c r="J18" s="20">
        <v>0</v>
      </c>
      <c r="K18" s="30">
        <v>1.6</v>
      </c>
      <c r="L18" s="31"/>
      <c r="M18" s="20">
        <v>0</v>
      </c>
      <c r="N18" s="20">
        <v>0</v>
      </c>
      <c r="O18" s="19">
        <v>9</v>
      </c>
      <c r="P18" s="19">
        <v>0</v>
      </c>
      <c r="Q18" s="19">
        <v>1.2</v>
      </c>
      <c r="R18" s="19">
        <v>0</v>
      </c>
      <c r="S18" s="19">
        <v>0</v>
      </c>
      <c r="T18" s="19">
        <v>0</v>
      </c>
      <c r="U18" s="32">
        <v>5</v>
      </c>
      <c r="V18" s="32"/>
      <c r="W18" s="32"/>
      <c r="X18" s="33">
        <v>0</v>
      </c>
      <c r="Y18" s="19">
        <v>3</v>
      </c>
      <c r="Z18" s="19">
        <v>1</v>
      </c>
      <c r="AA18" s="33">
        <v>0</v>
      </c>
      <c r="AB18" s="19">
        <v>0</v>
      </c>
      <c r="AC18" s="20">
        <v>2</v>
      </c>
      <c r="AD18" s="20">
        <v>4</v>
      </c>
      <c r="AE18" s="20">
        <v>2</v>
      </c>
      <c r="AF18" s="20">
        <f t="shared" si="0"/>
        <v>35.8</v>
      </c>
      <c r="AG18" s="20">
        <f t="shared" si="1"/>
        <v>10.74</v>
      </c>
      <c r="AH18" s="25">
        <v>87.1961</v>
      </c>
      <c r="AI18" s="25">
        <f t="shared" si="2"/>
        <v>61.03727</v>
      </c>
      <c r="AJ18" s="20">
        <v>0.25</v>
      </c>
      <c r="AK18" s="25">
        <f t="shared" si="3"/>
        <v>72.02727</v>
      </c>
    </row>
    <row r="19" spans="1:37">
      <c r="A19" s="18">
        <v>2511630115</v>
      </c>
      <c r="B19" s="18" t="s">
        <v>121</v>
      </c>
      <c r="C19" s="18" t="s">
        <v>107</v>
      </c>
      <c r="D19" s="19">
        <v>0</v>
      </c>
      <c r="E19" s="19">
        <v>0</v>
      </c>
      <c r="F19" s="29">
        <v>0</v>
      </c>
      <c r="G19" s="20">
        <v>4</v>
      </c>
      <c r="H19" s="20">
        <v>2</v>
      </c>
      <c r="I19" s="20">
        <v>0</v>
      </c>
      <c r="J19" s="20">
        <v>0</v>
      </c>
      <c r="K19" s="30">
        <v>1.6</v>
      </c>
      <c r="L19" s="31"/>
      <c r="M19" s="20">
        <v>0</v>
      </c>
      <c r="N19" s="20">
        <v>0</v>
      </c>
      <c r="O19" s="19">
        <v>9</v>
      </c>
      <c r="P19" s="19">
        <v>0</v>
      </c>
      <c r="Q19" s="19">
        <v>1.2</v>
      </c>
      <c r="R19" s="19">
        <v>0</v>
      </c>
      <c r="S19" s="19">
        <v>0</v>
      </c>
      <c r="T19" s="19">
        <v>0</v>
      </c>
      <c r="U19" s="32">
        <v>5</v>
      </c>
      <c r="V19" s="32"/>
      <c r="W19" s="32"/>
      <c r="X19" s="33">
        <v>0</v>
      </c>
      <c r="Y19" s="19">
        <v>3</v>
      </c>
      <c r="Z19" s="19">
        <v>1</v>
      </c>
      <c r="AA19" s="33">
        <v>0</v>
      </c>
      <c r="AB19" s="19">
        <v>0</v>
      </c>
      <c r="AC19" s="20">
        <v>2</v>
      </c>
      <c r="AD19" s="20">
        <v>4</v>
      </c>
      <c r="AE19" s="20">
        <v>2</v>
      </c>
      <c r="AF19" s="20">
        <f t="shared" si="0"/>
        <v>34.8</v>
      </c>
      <c r="AG19" s="20">
        <f t="shared" si="1"/>
        <v>10.44</v>
      </c>
      <c r="AH19" s="25">
        <v>77.9804</v>
      </c>
      <c r="AI19" s="25">
        <f t="shared" si="2"/>
        <v>54.58628</v>
      </c>
      <c r="AJ19" s="20">
        <v>0.25</v>
      </c>
      <c r="AK19" s="25">
        <f t="shared" si="3"/>
        <v>65.27628</v>
      </c>
    </row>
    <row r="20" spans="1:37">
      <c r="A20" s="18">
        <v>2511630116</v>
      </c>
      <c r="B20" s="18" t="s">
        <v>122</v>
      </c>
      <c r="C20" s="18" t="s">
        <v>107</v>
      </c>
      <c r="D20" s="19">
        <v>0</v>
      </c>
      <c r="E20" s="19">
        <v>0</v>
      </c>
      <c r="F20" s="29">
        <v>0</v>
      </c>
      <c r="G20" s="20">
        <v>6</v>
      </c>
      <c r="H20" s="20">
        <v>3</v>
      </c>
      <c r="I20" s="20">
        <v>0</v>
      </c>
      <c r="J20" s="20">
        <v>0</v>
      </c>
      <c r="K20" s="30">
        <v>2.6</v>
      </c>
      <c r="L20" s="31"/>
      <c r="M20" s="20">
        <v>0</v>
      </c>
      <c r="N20" s="20">
        <v>0</v>
      </c>
      <c r="O20" s="19">
        <v>10.5</v>
      </c>
      <c r="P20" s="19">
        <v>0</v>
      </c>
      <c r="Q20" s="19">
        <v>1.6</v>
      </c>
      <c r="R20" s="19">
        <v>0</v>
      </c>
      <c r="S20" s="19">
        <v>0</v>
      </c>
      <c r="T20" s="19">
        <v>0.5</v>
      </c>
      <c r="U20" s="32">
        <v>5</v>
      </c>
      <c r="V20" s="32"/>
      <c r="W20" s="32"/>
      <c r="X20" s="33">
        <v>0</v>
      </c>
      <c r="Y20" s="19">
        <v>5</v>
      </c>
      <c r="Z20" s="19">
        <v>6</v>
      </c>
      <c r="AA20" s="33">
        <v>0</v>
      </c>
      <c r="AB20" s="19">
        <v>0</v>
      </c>
      <c r="AC20" s="20">
        <v>0</v>
      </c>
      <c r="AD20" s="20">
        <v>0</v>
      </c>
      <c r="AE20" s="20">
        <v>0</v>
      </c>
      <c r="AF20" s="20">
        <f t="shared" si="0"/>
        <v>40.2</v>
      </c>
      <c r="AG20" s="20">
        <f t="shared" si="1"/>
        <v>12.06</v>
      </c>
      <c r="AH20" s="25">
        <v>90.6471</v>
      </c>
      <c r="AI20" s="25">
        <f t="shared" si="2"/>
        <v>63.45297</v>
      </c>
      <c r="AJ20" s="20">
        <v>0</v>
      </c>
      <c r="AK20" s="25">
        <f t="shared" si="3"/>
        <v>75.51297</v>
      </c>
    </row>
    <row r="21" spans="1:37">
      <c r="A21" s="18">
        <v>2511630117</v>
      </c>
      <c r="B21" s="18" t="s">
        <v>123</v>
      </c>
      <c r="C21" s="18" t="s">
        <v>107</v>
      </c>
      <c r="D21" s="19">
        <v>0</v>
      </c>
      <c r="E21" s="19">
        <v>0</v>
      </c>
      <c r="F21" s="29">
        <v>0</v>
      </c>
      <c r="G21" s="20">
        <v>0</v>
      </c>
      <c r="H21" s="20">
        <v>2</v>
      </c>
      <c r="I21" s="20">
        <v>0</v>
      </c>
      <c r="J21" s="20">
        <v>0</v>
      </c>
      <c r="K21" s="30">
        <v>0.6</v>
      </c>
      <c r="L21" s="31"/>
      <c r="M21" s="20">
        <v>0</v>
      </c>
      <c r="N21" s="20">
        <v>0</v>
      </c>
      <c r="O21" s="19">
        <v>9</v>
      </c>
      <c r="P21" s="19">
        <v>0</v>
      </c>
      <c r="Q21" s="19">
        <v>1.2</v>
      </c>
      <c r="R21" s="19">
        <v>0</v>
      </c>
      <c r="S21" s="19">
        <v>0</v>
      </c>
      <c r="T21" s="19">
        <v>0</v>
      </c>
      <c r="U21" s="32">
        <v>5</v>
      </c>
      <c r="V21" s="32"/>
      <c r="W21" s="32"/>
      <c r="X21" s="33">
        <v>0</v>
      </c>
      <c r="Y21" s="19">
        <v>3</v>
      </c>
      <c r="Z21" s="19">
        <v>3</v>
      </c>
      <c r="AA21" s="33">
        <v>0</v>
      </c>
      <c r="AB21" s="19">
        <v>0</v>
      </c>
      <c r="AC21" s="20">
        <v>0</v>
      </c>
      <c r="AD21" s="20">
        <v>0</v>
      </c>
      <c r="AE21" s="20">
        <v>0</v>
      </c>
      <c r="AF21" s="20">
        <f t="shared" si="0"/>
        <v>23.8</v>
      </c>
      <c r="AG21" s="20">
        <f t="shared" si="1"/>
        <v>7.14</v>
      </c>
      <c r="AH21" s="25">
        <v>76.8039</v>
      </c>
      <c r="AI21" s="25">
        <f t="shared" si="2"/>
        <v>53.76273</v>
      </c>
      <c r="AJ21" s="20">
        <v>0</v>
      </c>
      <c r="AK21" s="25">
        <f t="shared" si="3"/>
        <v>60.90273</v>
      </c>
    </row>
    <row r="22" spans="1:37">
      <c r="A22" s="18">
        <v>2511630118</v>
      </c>
      <c r="B22" s="18" t="s">
        <v>124</v>
      </c>
      <c r="C22" s="18" t="s">
        <v>107</v>
      </c>
      <c r="D22" s="19">
        <v>0</v>
      </c>
      <c r="E22" s="19">
        <v>0</v>
      </c>
      <c r="F22" s="29">
        <v>4</v>
      </c>
      <c r="G22" s="20">
        <v>5</v>
      </c>
      <c r="H22" s="20">
        <v>4</v>
      </c>
      <c r="I22" s="20">
        <v>0</v>
      </c>
      <c r="J22" s="20">
        <v>0</v>
      </c>
      <c r="K22" s="30">
        <v>2.6</v>
      </c>
      <c r="L22" s="31"/>
      <c r="M22" s="20">
        <v>0</v>
      </c>
      <c r="N22" s="20">
        <v>1</v>
      </c>
      <c r="O22" s="19">
        <v>9</v>
      </c>
      <c r="P22" s="19">
        <v>0</v>
      </c>
      <c r="Q22" s="19">
        <v>1.2</v>
      </c>
      <c r="R22" s="19">
        <v>0</v>
      </c>
      <c r="S22" s="19">
        <v>0</v>
      </c>
      <c r="T22" s="19">
        <v>3</v>
      </c>
      <c r="U22" s="32">
        <v>5</v>
      </c>
      <c r="V22" s="32"/>
      <c r="W22" s="32"/>
      <c r="X22" s="32">
        <v>3</v>
      </c>
      <c r="Y22" s="19">
        <v>3</v>
      </c>
      <c r="Z22" s="19">
        <v>4</v>
      </c>
      <c r="AA22" s="32">
        <v>3</v>
      </c>
      <c r="AB22" s="19">
        <v>0</v>
      </c>
      <c r="AC22" s="20">
        <v>0</v>
      </c>
      <c r="AD22" s="20">
        <v>0</v>
      </c>
      <c r="AE22" s="20">
        <v>0</v>
      </c>
      <c r="AF22" s="20">
        <f t="shared" si="0"/>
        <v>47.8</v>
      </c>
      <c r="AG22" s="20">
        <f t="shared" si="1"/>
        <v>14.34</v>
      </c>
      <c r="AH22" s="25">
        <v>82.8431</v>
      </c>
      <c r="AI22" s="25">
        <f t="shared" si="2"/>
        <v>57.99017</v>
      </c>
      <c r="AJ22" s="20">
        <v>3</v>
      </c>
      <c r="AK22" s="25">
        <f t="shared" si="3"/>
        <v>75.33017</v>
      </c>
    </row>
    <row r="23" spans="1:37">
      <c r="A23" s="18">
        <v>2511630119</v>
      </c>
      <c r="B23" s="18" t="s">
        <v>125</v>
      </c>
      <c r="C23" s="18" t="s">
        <v>107</v>
      </c>
      <c r="D23" s="19">
        <v>0</v>
      </c>
      <c r="E23" s="19">
        <v>0</v>
      </c>
      <c r="F23" s="29">
        <v>2</v>
      </c>
      <c r="G23" s="20">
        <v>4</v>
      </c>
      <c r="H23" s="20">
        <v>4</v>
      </c>
      <c r="I23" s="20">
        <v>0</v>
      </c>
      <c r="J23" s="20">
        <v>0</v>
      </c>
      <c r="K23" s="30">
        <v>1.6</v>
      </c>
      <c r="L23" s="31"/>
      <c r="M23" s="20">
        <v>0</v>
      </c>
      <c r="N23" s="20">
        <v>1</v>
      </c>
      <c r="O23" s="19">
        <v>7.5</v>
      </c>
      <c r="P23" s="19">
        <v>0</v>
      </c>
      <c r="Q23" s="19">
        <v>0.8</v>
      </c>
      <c r="R23" s="19">
        <v>0</v>
      </c>
      <c r="S23" s="19">
        <v>0</v>
      </c>
      <c r="T23" s="19">
        <v>1</v>
      </c>
      <c r="U23" s="32">
        <v>5</v>
      </c>
      <c r="V23" s="32"/>
      <c r="W23" s="32"/>
      <c r="X23" s="33">
        <v>0</v>
      </c>
      <c r="Y23" s="19">
        <v>3</v>
      </c>
      <c r="Z23" s="19">
        <v>0</v>
      </c>
      <c r="AA23" s="33">
        <v>1</v>
      </c>
      <c r="AB23" s="19">
        <v>0.5</v>
      </c>
      <c r="AC23" s="20">
        <v>2</v>
      </c>
      <c r="AD23" s="20">
        <v>4</v>
      </c>
      <c r="AE23" s="20">
        <v>2</v>
      </c>
      <c r="AF23" s="20">
        <f t="shared" si="0"/>
        <v>39.4</v>
      </c>
      <c r="AG23" s="20">
        <f t="shared" si="1"/>
        <v>11.82</v>
      </c>
      <c r="AH23" s="25">
        <v>76.8431</v>
      </c>
      <c r="AI23" s="25">
        <f t="shared" si="2"/>
        <v>53.79017</v>
      </c>
      <c r="AJ23" s="20">
        <v>2</v>
      </c>
      <c r="AK23" s="25">
        <f t="shared" si="3"/>
        <v>67.61017</v>
      </c>
    </row>
    <row r="24" spans="1:37">
      <c r="A24" s="18">
        <v>2511630120</v>
      </c>
      <c r="B24" s="18" t="s">
        <v>126</v>
      </c>
      <c r="C24" s="18" t="s">
        <v>107</v>
      </c>
      <c r="D24" s="19">
        <v>0</v>
      </c>
      <c r="E24" s="19">
        <v>0</v>
      </c>
      <c r="F24" s="29">
        <v>0</v>
      </c>
      <c r="G24" s="20">
        <v>4</v>
      </c>
      <c r="H24" s="20">
        <v>4</v>
      </c>
      <c r="I24" s="20">
        <v>0</v>
      </c>
      <c r="J24" s="20">
        <v>0</v>
      </c>
      <c r="K24" s="30">
        <v>2.6</v>
      </c>
      <c r="L24" s="31"/>
      <c r="M24" s="20">
        <v>0</v>
      </c>
      <c r="N24" s="20">
        <v>0</v>
      </c>
      <c r="O24" s="19">
        <v>7.5</v>
      </c>
      <c r="P24" s="19">
        <v>0</v>
      </c>
      <c r="Q24" s="19">
        <v>0.8</v>
      </c>
      <c r="R24" s="19">
        <v>0</v>
      </c>
      <c r="S24" s="19">
        <v>0</v>
      </c>
      <c r="T24" s="19">
        <v>0.5</v>
      </c>
      <c r="U24" s="32">
        <v>5</v>
      </c>
      <c r="V24" s="32"/>
      <c r="W24" s="32"/>
      <c r="X24" s="32">
        <v>3</v>
      </c>
      <c r="Y24" s="19">
        <v>3</v>
      </c>
      <c r="Z24" s="19">
        <v>0</v>
      </c>
      <c r="AA24" s="32">
        <v>3</v>
      </c>
      <c r="AB24" s="19">
        <v>1</v>
      </c>
      <c r="AC24" s="20">
        <v>0</v>
      </c>
      <c r="AD24" s="20">
        <v>0</v>
      </c>
      <c r="AE24" s="20">
        <v>0</v>
      </c>
      <c r="AF24" s="20">
        <f t="shared" si="0"/>
        <v>34.4</v>
      </c>
      <c r="AG24" s="20">
        <f t="shared" si="1"/>
        <v>10.32</v>
      </c>
      <c r="AH24" s="25">
        <v>88.2549</v>
      </c>
      <c r="AI24" s="25">
        <f t="shared" si="2"/>
        <v>61.77843</v>
      </c>
      <c r="AJ24" s="20">
        <v>0.25</v>
      </c>
      <c r="AK24" s="25">
        <f t="shared" si="3"/>
        <v>72.34843</v>
      </c>
    </row>
    <row r="25" spans="1:37">
      <c r="A25" s="18">
        <v>2511630121</v>
      </c>
      <c r="B25" s="18" t="s">
        <v>127</v>
      </c>
      <c r="C25" s="18" t="s">
        <v>107</v>
      </c>
      <c r="D25" s="19">
        <v>0</v>
      </c>
      <c r="E25" s="19">
        <v>0.5</v>
      </c>
      <c r="F25" s="29">
        <v>4</v>
      </c>
      <c r="G25" s="20">
        <v>4</v>
      </c>
      <c r="H25" s="20">
        <v>4</v>
      </c>
      <c r="I25" s="20">
        <v>0</v>
      </c>
      <c r="J25" s="20">
        <v>0</v>
      </c>
      <c r="K25" s="30">
        <v>2.6</v>
      </c>
      <c r="L25" s="31"/>
      <c r="M25" s="20">
        <v>0</v>
      </c>
      <c r="N25" s="20">
        <v>1</v>
      </c>
      <c r="O25" s="19">
        <v>7.5</v>
      </c>
      <c r="P25" s="19">
        <v>0</v>
      </c>
      <c r="Q25" s="19">
        <v>0.8</v>
      </c>
      <c r="R25" s="19">
        <v>0</v>
      </c>
      <c r="S25" s="19">
        <v>0</v>
      </c>
      <c r="T25" s="19">
        <v>1</v>
      </c>
      <c r="U25" s="32">
        <v>5</v>
      </c>
      <c r="V25" s="32"/>
      <c r="W25" s="32"/>
      <c r="X25" s="32">
        <v>3</v>
      </c>
      <c r="Y25" s="19">
        <v>3</v>
      </c>
      <c r="Z25" s="19">
        <v>0</v>
      </c>
      <c r="AA25" s="32">
        <v>3</v>
      </c>
      <c r="AB25" s="19">
        <v>0.5</v>
      </c>
      <c r="AC25" s="20">
        <v>0</v>
      </c>
      <c r="AD25" s="20">
        <v>0</v>
      </c>
      <c r="AE25" s="20">
        <v>0</v>
      </c>
      <c r="AF25" s="20">
        <f t="shared" si="0"/>
        <v>39.9</v>
      </c>
      <c r="AG25" s="20">
        <f t="shared" si="1"/>
        <v>11.97</v>
      </c>
      <c r="AH25" s="25">
        <v>91.1569</v>
      </c>
      <c r="AI25" s="25">
        <f t="shared" si="2"/>
        <v>63.80983</v>
      </c>
      <c r="AJ25" s="20">
        <v>0</v>
      </c>
      <c r="AK25" s="25">
        <f t="shared" si="3"/>
        <v>75.77983</v>
      </c>
    </row>
    <row r="26" spans="1:37">
      <c r="A26" s="18">
        <v>2511630122</v>
      </c>
      <c r="B26" s="18" t="s">
        <v>128</v>
      </c>
      <c r="C26" s="18" t="s">
        <v>107</v>
      </c>
      <c r="D26" s="19">
        <v>0</v>
      </c>
      <c r="E26" s="19">
        <v>0</v>
      </c>
      <c r="F26" s="29">
        <v>0</v>
      </c>
      <c r="G26" s="20">
        <v>0</v>
      </c>
      <c r="H26" s="20">
        <v>1</v>
      </c>
      <c r="I26" s="20">
        <v>0</v>
      </c>
      <c r="J26" s="20">
        <v>0</v>
      </c>
      <c r="K26" s="30">
        <v>0.6</v>
      </c>
      <c r="L26" s="31"/>
      <c r="M26" s="20">
        <v>0</v>
      </c>
      <c r="N26" s="20">
        <v>0</v>
      </c>
      <c r="O26" s="19">
        <v>9</v>
      </c>
      <c r="P26" s="19">
        <v>0</v>
      </c>
      <c r="Q26" s="19">
        <v>1.2</v>
      </c>
      <c r="R26" s="19">
        <v>0</v>
      </c>
      <c r="S26" s="19">
        <v>0</v>
      </c>
      <c r="T26" s="19">
        <v>0</v>
      </c>
      <c r="U26" s="32">
        <v>5</v>
      </c>
      <c r="V26" s="32"/>
      <c r="W26" s="32"/>
      <c r="X26" s="33">
        <v>0</v>
      </c>
      <c r="Y26" s="19">
        <v>3</v>
      </c>
      <c r="Z26" s="19">
        <v>0</v>
      </c>
      <c r="AA26" s="33">
        <v>0</v>
      </c>
      <c r="AB26" s="19">
        <v>0.5</v>
      </c>
      <c r="AC26" s="20">
        <v>0</v>
      </c>
      <c r="AD26" s="20">
        <v>0</v>
      </c>
      <c r="AE26" s="20">
        <v>0</v>
      </c>
      <c r="AF26" s="20">
        <f t="shared" si="0"/>
        <v>20.3</v>
      </c>
      <c r="AG26" s="20">
        <f t="shared" si="1"/>
        <v>6.09</v>
      </c>
      <c r="AH26" s="25">
        <v>73.4314</v>
      </c>
      <c r="AI26" s="25">
        <f t="shared" si="2"/>
        <v>51.40198</v>
      </c>
      <c r="AJ26" s="20">
        <v>0</v>
      </c>
      <c r="AK26" s="25">
        <f t="shared" si="3"/>
        <v>57.49198</v>
      </c>
    </row>
    <row r="27" spans="1:37">
      <c r="A27" s="18">
        <v>2511630123</v>
      </c>
      <c r="B27" s="18" t="s">
        <v>129</v>
      </c>
      <c r="C27" s="18" t="s">
        <v>107</v>
      </c>
      <c r="D27" s="19">
        <v>0</v>
      </c>
      <c r="E27" s="19">
        <v>0</v>
      </c>
      <c r="F27" s="29">
        <v>0</v>
      </c>
      <c r="G27" s="20">
        <v>0</v>
      </c>
      <c r="H27" s="20">
        <v>1</v>
      </c>
      <c r="I27" s="20">
        <v>0</v>
      </c>
      <c r="J27" s="20">
        <v>0</v>
      </c>
      <c r="K27" s="30">
        <v>0.6</v>
      </c>
      <c r="L27" s="31"/>
      <c r="M27" s="20">
        <v>0</v>
      </c>
      <c r="N27" s="20">
        <v>0</v>
      </c>
      <c r="O27" s="19">
        <v>9</v>
      </c>
      <c r="P27" s="19">
        <v>0</v>
      </c>
      <c r="Q27" s="19">
        <v>1.2</v>
      </c>
      <c r="R27" s="19">
        <v>0</v>
      </c>
      <c r="S27" s="19">
        <v>0</v>
      </c>
      <c r="T27" s="19">
        <v>0</v>
      </c>
      <c r="U27" s="32">
        <v>5</v>
      </c>
      <c r="V27" s="32"/>
      <c r="W27" s="32"/>
      <c r="X27" s="33">
        <v>0</v>
      </c>
      <c r="Y27" s="19">
        <v>3</v>
      </c>
      <c r="Z27" s="19">
        <v>0</v>
      </c>
      <c r="AA27" s="33">
        <v>0</v>
      </c>
      <c r="AB27" s="19">
        <v>0.5</v>
      </c>
      <c r="AC27" s="20">
        <v>0</v>
      </c>
      <c r="AD27" s="20">
        <v>0</v>
      </c>
      <c r="AE27" s="20">
        <v>0</v>
      </c>
      <c r="AF27" s="20">
        <f t="shared" si="0"/>
        <v>20.3</v>
      </c>
      <c r="AG27" s="20">
        <f t="shared" si="1"/>
        <v>6.09</v>
      </c>
      <c r="AH27" s="25">
        <v>75.1176</v>
      </c>
      <c r="AI27" s="25">
        <f t="shared" si="2"/>
        <v>52.58232</v>
      </c>
      <c r="AJ27" s="20">
        <v>0</v>
      </c>
      <c r="AK27" s="25">
        <f t="shared" si="3"/>
        <v>58.67232</v>
      </c>
    </row>
    <row r="28" spans="1:37">
      <c r="A28" s="18">
        <v>2511630124</v>
      </c>
      <c r="B28" s="18" t="s">
        <v>130</v>
      </c>
      <c r="C28" s="18" t="s">
        <v>107</v>
      </c>
      <c r="D28" s="19">
        <v>0</v>
      </c>
      <c r="E28" s="19">
        <v>0.5</v>
      </c>
      <c r="F28" s="29">
        <v>1</v>
      </c>
      <c r="G28" s="20">
        <v>6</v>
      </c>
      <c r="H28" s="20">
        <v>3</v>
      </c>
      <c r="I28" s="20">
        <v>0</v>
      </c>
      <c r="J28" s="20">
        <v>0</v>
      </c>
      <c r="K28" s="30">
        <v>2.6</v>
      </c>
      <c r="L28" s="31"/>
      <c r="M28" s="20">
        <v>0</v>
      </c>
      <c r="N28" s="20">
        <v>1</v>
      </c>
      <c r="O28" s="19">
        <v>7.5</v>
      </c>
      <c r="P28" s="19">
        <v>0</v>
      </c>
      <c r="Q28" s="19">
        <v>0.8</v>
      </c>
      <c r="R28" s="19">
        <v>0</v>
      </c>
      <c r="S28" s="19">
        <v>0</v>
      </c>
      <c r="T28" s="19">
        <v>0.5</v>
      </c>
      <c r="U28" s="32">
        <v>5</v>
      </c>
      <c r="V28" s="32"/>
      <c r="W28" s="32"/>
      <c r="X28" s="33">
        <v>0</v>
      </c>
      <c r="Y28" s="19">
        <v>5</v>
      </c>
      <c r="Z28" s="19">
        <v>6</v>
      </c>
      <c r="AA28" s="33">
        <v>1</v>
      </c>
      <c r="AB28" s="19">
        <v>0.5</v>
      </c>
      <c r="AC28" s="20">
        <v>0</v>
      </c>
      <c r="AD28" s="20">
        <v>0</v>
      </c>
      <c r="AE28" s="20">
        <v>0</v>
      </c>
      <c r="AF28" s="20">
        <f t="shared" si="0"/>
        <v>40.4</v>
      </c>
      <c r="AG28" s="20">
        <f t="shared" si="1"/>
        <v>12.12</v>
      </c>
      <c r="AH28" s="25">
        <v>87.9804</v>
      </c>
      <c r="AI28" s="25">
        <f t="shared" si="2"/>
        <v>61.58628</v>
      </c>
      <c r="AJ28" s="20">
        <v>1.5</v>
      </c>
      <c r="AK28" s="25">
        <f t="shared" si="3"/>
        <v>75.20628</v>
      </c>
    </row>
    <row r="29" spans="1:37">
      <c r="A29" s="18">
        <v>2511630125</v>
      </c>
      <c r="B29" s="18" t="s">
        <v>131</v>
      </c>
      <c r="C29" s="18" t="s">
        <v>107</v>
      </c>
      <c r="D29" s="19">
        <v>0</v>
      </c>
      <c r="E29" s="19">
        <v>0</v>
      </c>
      <c r="F29" s="29">
        <v>0</v>
      </c>
      <c r="G29" s="20">
        <v>4</v>
      </c>
      <c r="H29" s="20">
        <v>3</v>
      </c>
      <c r="I29" s="20">
        <v>0</v>
      </c>
      <c r="J29" s="20">
        <v>0</v>
      </c>
      <c r="K29" s="30">
        <v>2.6</v>
      </c>
      <c r="L29" s="31"/>
      <c r="M29" s="20">
        <v>0</v>
      </c>
      <c r="N29" s="20">
        <v>0</v>
      </c>
      <c r="O29" s="19">
        <v>9</v>
      </c>
      <c r="P29" s="19">
        <v>0</v>
      </c>
      <c r="Q29" s="19">
        <v>1.2</v>
      </c>
      <c r="R29" s="19">
        <v>0</v>
      </c>
      <c r="S29" s="19">
        <v>0</v>
      </c>
      <c r="T29" s="19">
        <v>0.5</v>
      </c>
      <c r="U29" s="32">
        <v>5</v>
      </c>
      <c r="V29" s="32"/>
      <c r="W29" s="32"/>
      <c r="X29" s="32">
        <v>3</v>
      </c>
      <c r="Y29" s="19">
        <v>3</v>
      </c>
      <c r="Z29" s="19">
        <v>0</v>
      </c>
      <c r="AA29" s="35">
        <v>3</v>
      </c>
      <c r="AB29" s="19">
        <v>0.5</v>
      </c>
      <c r="AC29" s="20">
        <v>0</v>
      </c>
      <c r="AD29" s="20">
        <v>0</v>
      </c>
      <c r="AE29" s="20">
        <v>0</v>
      </c>
      <c r="AF29" s="20">
        <f t="shared" si="0"/>
        <v>34.8</v>
      </c>
      <c r="AG29" s="20">
        <f t="shared" si="1"/>
        <v>10.44</v>
      </c>
      <c r="AH29" s="25">
        <v>83.1176</v>
      </c>
      <c r="AI29" s="25">
        <f t="shared" si="2"/>
        <v>58.18232</v>
      </c>
      <c r="AJ29" s="20">
        <v>0.25</v>
      </c>
      <c r="AK29" s="25">
        <f t="shared" si="3"/>
        <v>68.87232</v>
      </c>
    </row>
    <row r="30" spans="1:37">
      <c r="A30" s="18">
        <v>2511630126</v>
      </c>
      <c r="B30" s="18" t="s">
        <v>132</v>
      </c>
      <c r="C30" s="18" t="s">
        <v>107</v>
      </c>
      <c r="D30" s="19">
        <v>0</v>
      </c>
      <c r="E30" s="19">
        <v>0</v>
      </c>
      <c r="F30" s="29">
        <v>2</v>
      </c>
      <c r="G30" s="20">
        <v>2</v>
      </c>
      <c r="H30" s="20">
        <v>3</v>
      </c>
      <c r="I30" s="20">
        <v>0</v>
      </c>
      <c r="J30" s="20">
        <v>3</v>
      </c>
      <c r="K30" s="30">
        <v>5</v>
      </c>
      <c r="L30" s="31"/>
      <c r="M30" s="20">
        <v>0</v>
      </c>
      <c r="N30" s="20">
        <v>2</v>
      </c>
      <c r="O30" s="19">
        <v>10.5</v>
      </c>
      <c r="P30" s="19">
        <v>0</v>
      </c>
      <c r="Q30" s="19">
        <v>1.6</v>
      </c>
      <c r="R30" s="19">
        <v>0</v>
      </c>
      <c r="S30" s="19">
        <v>0</v>
      </c>
      <c r="T30" s="19">
        <v>1</v>
      </c>
      <c r="U30" s="32">
        <v>5</v>
      </c>
      <c r="V30" s="32"/>
      <c r="W30" s="32"/>
      <c r="X30" s="33">
        <v>0</v>
      </c>
      <c r="Y30" s="19">
        <v>3</v>
      </c>
      <c r="Z30" s="19">
        <v>4</v>
      </c>
      <c r="AA30" s="33">
        <v>3</v>
      </c>
      <c r="AB30" s="19">
        <v>0.5</v>
      </c>
      <c r="AC30" s="20">
        <v>0</v>
      </c>
      <c r="AD30" s="20">
        <v>0</v>
      </c>
      <c r="AE30" s="20">
        <v>0</v>
      </c>
      <c r="AF30" s="20">
        <f t="shared" si="0"/>
        <v>45.6</v>
      </c>
      <c r="AG30" s="20">
        <f t="shared" si="1"/>
        <v>13.68</v>
      </c>
      <c r="AH30" s="25">
        <v>85.549</v>
      </c>
      <c r="AI30" s="25">
        <f t="shared" si="2"/>
        <v>59.8843</v>
      </c>
      <c r="AJ30" s="20">
        <v>1</v>
      </c>
      <c r="AK30" s="25">
        <f t="shared" si="3"/>
        <v>74.5643</v>
      </c>
    </row>
    <row r="31" spans="1:37">
      <c r="A31" s="18">
        <v>2511630127</v>
      </c>
      <c r="B31" s="18" t="s">
        <v>133</v>
      </c>
      <c r="C31" s="18" t="s">
        <v>107</v>
      </c>
      <c r="D31" s="19">
        <v>0</v>
      </c>
      <c r="E31" s="19">
        <v>0</v>
      </c>
      <c r="F31" s="29">
        <v>0</v>
      </c>
      <c r="G31" s="20">
        <v>4</v>
      </c>
      <c r="H31" s="20">
        <v>2</v>
      </c>
      <c r="I31" s="20">
        <v>0</v>
      </c>
      <c r="J31" s="20">
        <v>0</v>
      </c>
      <c r="K31" s="30">
        <v>1.6</v>
      </c>
      <c r="L31" s="31"/>
      <c r="M31" s="20">
        <v>0</v>
      </c>
      <c r="N31" s="20">
        <v>0</v>
      </c>
      <c r="O31" s="19">
        <v>12</v>
      </c>
      <c r="P31" s="19">
        <v>0</v>
      </c>
      <c r="Q31" s="19">
        <v>2</v>
      </c>
      <c r="R31" s="19">
        <v>0</v>
      </c>
      <c r="S31" s="19">
        <v>0</v>
      </c>
      <c r="T31" s="19">
        <v>0</v>
      </c>
      <c r="U31" s="32">
        <v>5</v>
      </c>
      <c r="V31" s="32"/>
      <c r="W31" s="32"/>
      <c r="X31" s="32">
        <v>3</v>
      </c>
      <c r="Y31" s="19">
        <v>3</v>
      </c>
      <c r="Z31" s="19">
        <v>0</v>
      </c>
      <c r="AA31" s="35">
        <v>3</v>
      </c>
      <c r="AB31" s="19">
        <v>0.5</v>
      </c>
      <c r="AC31" s="20">
        <v>0</v>
      </c>
      <c r="AD31" s="20">
        <v>0</v>
      </c>
      <c r="AE31" s="20">
        <v>0</v>
      </c>
      <c r="AF31" s="20">
        <f t="shared" si="0"/>
        <v>36.1</v>
      </c>
      <c r="AG31" s="20">
        <f t="shared" si="1"/>
        <v>10.83</v>
      </c>
      <c r="AH31" s="25">
        <v>81.0784</v>
      </c>
      <c r="AI31" s="25">
        <f t="shared" si="2"/>
        <v>56.75488</v>
      </c>
      <c r="AJ31" s="20">
        <v>0.25</v>
      </c>
      <c r="AK31" s="25">
        <f t="shared" si="3"/>
        <v>67.83488</v>
      </c>
    </row>
    <row r="32" spans="1:37">
      <c r="A32" s="18">
        <v>2511630128</v>
      </c>
      <c r="B32" s="18" t="s">
        <v>134</v>
      </c>
      <c r="C32" s="18" t="s">
        <v>107</v>
      </c>
      <c r="D32" s="19">
        <v>0</v>
      </c>
      <c r="E32" s="19">
        <v>0</v>
      </c>
      <c r="F32" s="29">
        <v>0</v>
      </c>
      <c r="G32" s="20">
        <v>0</v>
      </c>
      <c r="H32" s="20">
        <v>2</v>
      </c>
      <c r="I32" s="20">
        <v>0</v>
      </c>
      <c r="J32" s="20">
        <v>0</v>
      </c>
      <c r="K32" s="30">
        <v>0.6</v>
      </c>
      <c r="L32" s="31"/>
      <c r="M32" s="20">
        <v>0</v>
      </c>
      <c r="N32" s="20">
        <v>0</v>
      </c>
      <c r="O32" s="19">
        <v>12</v>
      </c>
      <c r="P32" s="19">
        <v>0</v>
      </c>
      <c r="Q32" s="19">
        <v>2</v>
      </c>
      <c r="R32" s="19">
        <v>0</v>
      </c>
      <c r="S32" s="19">
        <v>0</v>
      </c>
      <c r="T32" s="19">
        <v>0</v>
      </c>
      <c r="U32" s="34">
        <v>5</v>
      </c>
      <c r="V32" s="34"/>
      <c r="W32" s="34"/>
      <c r="X32" s="33">
        <v>0</v>
      </c>
      <c r="Y32" s="19">
        <v>3</v>
      </c>
      <c r="Z32" s="19">
        <v>0</v>
      </c>
      <c r="AA32" s="33">
        <v>0</v>
      </c>
      <c r="AB32" s="19">
        <v>0.5</v>
      </c>
      <c r="AC32" s="20">
        <v>0</v>
      </c>
      <c r="AD32" s="20">
        <v>0</v>
      </c>
      <c r="AE32" s="20">
        <v>0</v>
      </c>
      <c r="AF32" s="20">
        <f t="shared" si="0"/>
        <v>25.1</v>
      </c>
      <c r="AG32" s="20">
        <f t="shared" si="1"/>
        <v>7.53</v>
      </c>
      <c r="AH32" s="25">
        <v>82.0588</v>
      </c>
      <c r="AI32" s="25">
        <f t="shared" si="2"/>
        <v>57.44116</v>
      </c>
      <c r="AJ32" s="20">
        <v>0</v>
      </c>
      <c r="AK32" s="25">
        <f t="shared" si="3"/>
        <v>64.97116</v>
      </c>
    </row>
    <row r="33" spans="1:37">
      <c r="A33" s="18">
        <v>2511630129</v>
      </c>
      <c r="B33" s="18" t="s">
        <v>135</v>
      </c>
      <c r="C33" s="18" t="s">
        <v>107</v>
      </c>
      <c r="D33" s="19">
        <v>2</v>
      </c>
      <c r="E33" s="19">
        <v>2</v>
      </c>
      <c r="F33" s="29">
        <v>0</v>
      </c>
      <c r="G33" s="20">
        <v>2</v>
      </c>
      <c r="H33" s="20">
        <v>3</v>
      </c>
      <c r="I33" s="20">
        <v>0</v>
      </c>
      <c r="J33" s="20">
        <v>0</v>
      </c>
      <c r="K33" s="30">
        <v>1.6</v>
      </c>
      <c r="L33" s="31"/>
      <c r="M33" s="20">
        <v>0</v>
      </c>
      <c r="N33" s="20">
        <v>0</v>
      </c>
      <c r="O33" s="19">
        <v>10.5</v>
      </c>
      <c r="P33" s="19">
        <v>2</v>
      </c>
      <c r="Q33" s="19">
        <v>1.6</v>
      </c>
      <c r="R33" s="19">
        <v>2</v>
      </c>
      <c r="S33" s="19">
        <v>2</v>
      </c>
      <c r="T33" s="19">
        <v>2</v>
      </c>
      <c r="U33" s="32">
        <v>5</v>
      </c>
      <c r="V33" s="32"/>
      <c r="W33" s="32"/>
      <c r="X33" s="33">
        <v>0</v>
      </c>
      <c r="Y33" s="19">
        <v>3</v>
      </c>
      <c r="Z33" s="19">
        <v>0</v>
      </c>
      <c r="AA33" s="33">
        <v>0</v>
      </c>
      <c r="AB33" s="19">
        <v>0.5</v>
      </c>
      <c r="AC33" s="20">
        <v>0</v>
      </c>
      <c r="AD33" s="20">
        <v>0</v>
      </c>
      <c r="AE33" s="20">
        <v>0</v>
      </c>
      <c r="AF33" s="20">
        <f t="shared" si="0"/>
        <v>39.2</v>
      </c>
      <c r="AG33" s="20">
        <f t="shared" si="1"/>
        <v>11.76</v>
      </c>
      <c r="AH33" s="25">
        <v>86.1765</v>
      </c>
      <c r="AI33" s="25">
        <f t="shared" si="2"/>
        <v>60.32355</v>
      </c>
      <c r="AJ33" s="20">
        <v>0.5</v>
      </c>
      <c r="AK33" s="25">
        <f t="shared" si="3"/>
        <v>72.58355</v>
      </c>
    </row>
    <row r="34" spans="1:37">
      <c r="A34" s="18">
        <v>2511630130</v>
      </c>
      <c r="B34" s="18" t="s">
        <v>136</v>
      </c>
      <c r="C34" s="18" t="s">
        <v>107</v>
      </c>
      <c r="D34" s="19">
        <v>0</v>
      </c>
      <c r="E34" s="20">
        <v>0</v>
      </c>
      <c r="F34" s="20">
        <v>0</v>
      </c>
      <c r="G34" s="20">
        <v>4</v>
      </c>
      <c r="H34" s="20">
        <v>4</v>
      </c>
      <c r="I34" s="20">
        <v>0</v>
      </c>
      <c r="J34" s="20">
        <v>0</v>
      </c>
      <c r="K34" s="21">
        <v>1.6</v>
      </c>
      <c r="L34" s="22"/>
      <c r="M34" s="20">
        <v>0</v>
      </c>
      <c r="N34" s="20">
        <v>0</v>
      </c>
      <c r="O34" s="20">
        <v>12</v>
      </c>
      <c r="P34" s="19">
        <v>0</v>
      </c>
      <c r="Q34" s="20">
        <v>2</v>
      </c>
      <c r="R34" s="19">
        <v>0</v>
      </c>
      <c r="S34" s="20">
        <v>0</v>
      </c>
      <c r="T34" s="19">
        <v>0</v>
      </c>
      <c r="U34" s="32">
        <v>5</v>
      </c>
      <c r="V34" s="32"/>
      <c r="W34" s="32"/>
      <c r="X34" s="33">
        <v>0</v>
      </c>
      <c r="Y34" s="19">
        <v>3</v>
      </c>
      <c r="Z34" s="19">
        <v>0</v>
      </c>
      <c r="AA34" s="33">
        <v>0</v>
      </c>
      <c r="AB34" s="19">
        <v>0</v>
      </c>
      <c r="AC34" s="20">
        <v>2</v>
      </c>
      <c r="AD34" s="20">
        <v>4</v>
      </c>
      <c r="AE34" s="20">
        <v>2</v>
      </c>
      <c r="AF34" s="20">
        <f t="shared" si="0"/>
        <v>39.6</v>
      </c>
      <c r="AG34" s="20">
        <f t="shared" si="1"/>
        <v>11.88</v>
      </c>
      <c r="AH34" s="20">
        <v>74.1765</v>
      </c>
      <c r="AI34" s="25">
        <f t="shared" si="2"/>
        <v>51.92355</v>
      </c>
      <c r="AJ34" s="20">
        <v>0</v>
      </c>
      <c r="AK34" s="25">
        <f t="shared" si="3"/>
        <v>63.80355</v>
      </c>
    </row>
    <row r="35" spans="1:37">
      <c r="A35" s="36"/>
      <c r="B35" s="36"/>
      <c r="C35" s="36"/>
    </row>
    <row r="36" spans="1:37">
      <c r="A36" s="36"/>
      <c r="B36" s="36"/>
      <c r="C36" s="36"/>
    </row>
    <row r="37" spans="1:37">
      <c r="A37" s="36"/>
      <c r="B37" s="36"/>
      <c r="C37" s="36"/>
    </row>
    <row r="38" spans="1:37">
      <c r="A38" s="36"/>
      <c r="B38" s="36"/>
      <c r="C38" s="36"/>
    </row>
    <row r="39" spans="1:37">
      <c r="A39" s="36"/>
      <c r="B39" s="36"/>
      <c r="C39" s="36"/>
    </row>
    <row r="40" spans="1:37">
      <c r="A40" s="36"/>
      <c r="B40" s="36"/>
      <c r="C40" s="36"/>
    </row>
    <row r="41" spans="1:37">
      <c r="A41" s="36"/>
      <c r="B41" s="36"/>
      <c r="C41" s="36"/>
    </row>
    <row r="42" spans="1:37">
      <c r="A42" s="36"/>
      <c r="B42" s="36"/>
      <c r="C42" s="36"/>
    </row>
    <row r="43" spans="1:37">
      <c r="A43" s="36"/>
      <c r="B43" s="36"/>
      <c r="C43" s="36"/>
    </row>
    <row r="44" spans="1:37">
      <c r="A44" s="36"/>
      <c r="B44" s="36"/>
      <c r="C44" s="36"/>
    </row>
    <row r="45" spans="1:37">
      <c r="A45" s="36"/>
      <c r="B45" s="36"/>
      <c r="C45" s="36"/>
    </row>
    <row r="46" spans="1:37">
      <c r="A46" s="36"/>
      <c r="B46" s="36"/>
      <c r="C46" s="36"/>
    </row>
    <row r="47" spans="1:37">
      <c r="A47" s="36"/>
      <c r="B47" s="36"/>
      <c r="C47" s="36"/>
    </row>
    <row r="48" spans="1:37">
      <c r="A48" s="36"/>
      <c r="B48" s="36"/>
      <c r="C48" s="36"/>
    </row>
    <row r="49" spans="1:3">
      <c r="A49" s="36"/>
      <c r="B49" s="36"/>
      <c r="C49" s="36"/>
    </row>
    <row r="50" spans="1:3">
      <c r="A50" s="36"/>
      <c r="B50" s="36"/>
      <c r="C50" s="36"/>
    </row>
    <row r="51" spans="1:3">
      <c r="A51" s="36"/>
      <c r="B51" s="36"/>
      <c r="C51" s="36"/>
    </row>
    <row r="52" spans="1:3">
      <c r="A52" s="36"/>
      <c r="B52" s="36"/>
      <c r="C52" s="36"/>
    </row>
    <row r="53" spans="1:3">
      <c r="A53" s="36"/>
      <c r="B53" s="36"/>
      <c r="C53" s="36"/>
    </row>
    <row r="54" spans="1:3">
      <c r="A54" s="36"/>
      <c r="B54" s="36"/>
      <c r="C54" s="36"/>
    </row>
    <row r="55" spans="1:3">
      <c r="A55" s="36"/>
      <c r="B55" s="36"/>
      <c r="C55" s="36"/>
    </row>
    <row r="56" spans="1:3">
      <c r="A56" s="36"/>
      <c r="B56" s="36"/>
      <c r="C56" s="36"/>
    </row>
    <row r="57" spans="1:3">
      <c r="A57" s="36"/>
      <c r="B57" s="36"/>
      <c r="C57" s="36"/>
    </row>
    <row r="58" spans="1:3">
      <c r="A58" s="36"/>
      <c r="B58" s="36"/>
      <c r="C58" s="36"/>
    </row>
    <row r="59" spans="1:3">
      <c r="A59" s="36"/>
      <c r="B59" s="36"/>
      <c r="C59" s="36"/>
    </row>
    <row r="60" spans="1:3">
      <c r="A60" s="36"/>
      <c r="B60" s="36"/>
      <c r="C60" s="36"/>
    </row>
    <row r="61" spans="1:3">
      <c r="A61" s="36"/>
      <c r="B61" s="36"/>
      <c r="C61" s="36"/>
    </row>
    <row r="62" spans="1:3">
      <c r="A62" s="36"/>
      <c r="B62" s="36"/>
      <c r="C62" s="36"/>
    </row>
    <row r="63" spans="1:3">
      <c r="A63" s="36"/>
      <c r="B63" s="36"/>
      <c r="C63" s="36"/>
    </row>
    <row r="64" spans="1:3">
      <c r="A64" s="36"/>
      <c r="B64" s="36"/>
      <c r="C64" s="36"/>
    </row>
    <row r="65" spans="1:3">
      <c r="A65" s="36"/>
      <c r="B65" s="36"/>
      <c r="C65" s="36"/>
    </row>
    <row r="66" spans="1:3">
      <c r="A66" s="36"/>
      <c r="B66" s="36"/>
      <c r="C66" s="36"/>
    </row>
    <row r="67" spans="1:3">
      <c r="A67" s="36"/>
      <c r="B67" s="36"/>
      <c r="C67" s="36"/>
    </row>
    <row r="68" spans="1:3">
      <c r="A68" s="36"/>
      <c r="B68" s="36"/>
      <c r="C68" s="36"/>
    </row>
    <row r="69" spans="1:3">
      <c r="A69" s="36"/>
      <c r="B69" s="36"/>
      <c r="C69" s="36"/>
    </row>
    <row r="70" spans="1:3">
      <c r="A70" s="36"/>
      <c r="B70" s="36"/>
      <c r="C70" s="36"/>
    </row>
    <row r="71" spans="1:3">
      <c r="A71" s="36"/>
      <c r="B71" s="36"/>
      <c r="C71" s="36"/>
    </row>
    <row r="72" spans="1:3">
      <c r="A72" s="36"/>
      <c r="B72" s="36"/>
      <c r="C72" s="36"/>
    </row>
  </sheetData>
  <mergeCells count="98">
    <mergeCell ref="A1:AK1"/>
    <mergeCell ref="D2:E2"/>
    <mergeCell ref="F2:I2"/>
    <mergeCell ref="J2:N2"/>
    <mergeCell ref="O2:Q2"/>
    <mergeCell ref="R2:T2"/>
    <mergeCell ref="X2:AB2"/>
    <mergeCell ref="AC2:AE2"/>
    <mergeCell ref="G3:I3"/>
    <mergeCell ref="K3:N3"/>
    <mergeCell ref="S3:T3"/>
    <mergeCell ref="K4:L4"/>
    <mergeCell ref="K5:L5"/>
    <mergeCell ref="U5:W5"/>
    <mergeCell ref="K6:L6"/>
    <mergeCell ref="U6:W6"/>
    <mergeCell ref="K7:L7"/>
    <mergeCell ref="U7:W7"/>
    <mergeCell ref="K8:L8"/>
    <mergeCell ref="U8:W8"/>
    <mergeCell ref="K9:L9"/>
    <mergeCell ref="U9:W9"/>
    <mergeCell ref="K10:L10"/>
    <mergeCell ref="U10:W10"/>
    <mergeCell ref="K11:L11"/>
    <mergeCell ref="U11:W11"/>
    <mergeCell ref="K12:L12"/>
    <mergeCell ref="U12:W12"/>
    <mergeCell ref="K13:L13"/>
    <mergeCell ref="U13:W13"/>
    <mergeCell ref="K14:L14"/>
    <mergeCell ref="U14:W14"/>
    <mergeCell ref="K15:L15"/>
    <mergeCell ref="U15:W15"/>
    <mergeCell ref="K16:L16"/>
    <mergeCell ref="U16:W16"/>
    <mergeCell ref="K17:L17"/>
    <mergeCell ref="U17:W17"/>
    <mergeCell ref="K18:L18"/>
    <mergeCell ref="U18:W18"/>
    <mergeCell ref="K19:L19"/>
    <mergeCell ref="U19:W19"/>
    <mergeCell ref="K20:L20"/>
    <mergeCell ref="U20:W20"/>
    <mergeCell ref="K21:L21"/>
    <mergeCell ref="U21:W21"/>
    <mergeCell ref="K22:L22"/>
    <mergeCell ref="U22:W22"/>
    <mergeCell ref="K23:L23"/>
    <mergeCell ref="U23:W23"/>
    <mergeCell ref="K24:L24"/>
    <mergeCell ref="U24:W24"/>
    <mergeCell ref="K25:L25"/>
    <mergeCell ref="U25:W25"/>
    <mergeCell ref="K26:L26"/>
    <mergeCell ref="U26:W26"/>
    <mergeCell ref="K27:L27"/>
    <mergeCell ref="U27:W27"/>
    <mergeCell ref="K28:L28"/>
    <mergeCell ref="U28:W28"/>
    <mergeCell ref="K29:L29"/>
    <mergeCell ref="U29:W29"/>
    <mergeCell ref="K30:L30"/>
    <mergeCell ref="U30:W30"/>
    <mergeCell ref="K31:L31"/>
    <mergeCell ref="U31:W31"/>
    <mergeCell ref="K32:L32"/>
    <mergeCell ref="U32:W32"/>
    <mergeCell ref="K33:L33"/>
    <mergeCell ref="U33:W33"/>
    <mergeCell ref="K34:L34"/>
    <mergeCell ref="U34:W34"/>
    <mergeCell ref="A2:A4"/>
    <mergeCell ref="B2:B4"/>
    <mergeCell ref="C2:C4"/>
    <mergeCell ref="D3:D4"/>
    <mergeCell ref="E3:E4"/>
    <mergeCell ref="F3:F4"/>
    <mergeCell ref="J3:J4"/>
    <mergeCell ref="O3:O4"/>
    <mergeCell ref="P3:P4"/>
    <mergeCell ref="Q3:Q4"/>
    <mergeCell ref="R3:R4"/>
    <mergeCell ref="X3:X4"/>
    <mergeCell ref="Y3:Y4"/>
    <mergeCell ref="Z3:Z4"/>
    <mergeCell ref="AA3:AA4"/>
    <mergeCell ref="AB3:AB4"/>
    <mergeCell ref="AC3:AC4"/>
    <mergeCell ref="AD3:AD4"/>
    <mergeCell ref="AE3:AE4"/>
    <mergeCell ref="AF2:AF4"/>
    <mergeCell ref="AG2:AG4"/>
    <mergeCell ref="AH2:AH4"/>
    <mergeCell ref="AI2:AI4"/>
    <mergeCell ref="AJ2:AJ4"/>
    <mergeCell ref="AK2:AK4"/>
    <mergeCell ref="U2:W4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34"/>
  <sheetViews>
    <sheetView zoomScale="85" zoomScaleNormal="85" topLeftCell="N1" workbookViewId="0">
      <selection activeCell="AK5" sqref="AK5:AK34"/>
    </sheetView>
  </sheetViews>
  <sheetFormatPr defaultColWidth="9" defaultRowHeight="14"/>
  <cols>
    <col min="1" max="1" width="13.5545454545455" style="1" customWidth="1"/>
    <col min="2" max="2" width="9" style="1"/>
    <col min="3" max="3" width="12.2181818181818" style="1" customWidth="1"/>
    <col min="4" max="4" width="9" style="1"/>
    <col min="5" max="5" width="13.7818181818182" style="1" customWidth="1"/>
    <col min="6" max="36" width="9" style="1"/>
    <col min="37" max="37" width="11.8727272727273" style="1" customWidth="1"/>
    <col min="38" max="16384" width="9" style="1"/>
  </cols>
  <sheetData>
    <row r="1" spans="1:37">
      <c r="A1" s="2" t="s">
        <v>137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>
      <c r="A2" s="3" t="s">
        <v>1</v>
      </c>
      <c r="B2" s="3" t="s">
        <v>2</v>
      </c>
      <c r="C2" s="3" t="s">
        <v>3</v>
      </c>
      <c r="D2" s="4" t="s">
        <v>4</v>
      </c>
      <c r="E2" s="5"/>
      <c r="F2" s="4" t="s">
        <v>5</v>
      </c>
      <c r="G2" s="5"/>
      <c r="H2" s="5"/>
      <c r="I2" s="5"/>
      <c r="J2" s="4" t="s">
        <v>6</v>
      </c>
      <c r="K2" s="4"/>
      <c r="L2" s="4"/>
      <c r="M2" s="4"/>
      <c r="N2" s="4"/>
      <c r="O2" s="4" t="s">
        <v>7</v>
      </c>
      <c r="P2" s="5"/>
      <c r="Q2" s="5"/>
      <c r="R2" s="4" t="s">
        <v>8</v>
      </c>
      <c r="S2" s="4"/>
      <c r="T2" s="5"/>
      <c r="U2" s="6" t="s">
        <v>9</v>
      </c>
      <c r="V2" s="7"/>
      <c r="W2" s="8"/>
      <c r="X2" s="4" t="s">
        <v>10</v>
      </c>
      <c r="Y2" s="4"/>
      <c r="Z2" s="4"/>
      <c r="AA2" s="4"/>
      <c r="AB2" s="4"/>
      <c r="AC2" s="5" t="s">
        <v>11</v>
      </c>
      <c r="AD2" s="5"/>
      <c r="AE2" s="5"/>
      <c r="AF2" s="4" t="s">
        <v>12</v>
      </c>
      <c r="AG2" s="4" t="s">
        <v>13</v>
      </c>
      <c r="AH2" s="4" t="s">
        <v>14</v>
      </c>
      <c r="AI2" s="4" t="s">
        <v>15</v>
      </c>
      <c r="AJ2" s="2" t="s">
        <v>16</v>
      </c>
      <c r="AK2" s="9" t="s">
        <v>17</v>
      </c>
    </row>
    <row r="3" spans="1:37">
      <c r="A3" s="3"/>
      <c r="B3" s="3"/>
      <c r="C3" s="3"/>
      <c r="D3" s="4" t="s">
        <v>18</v>
      </c>
      <c r="E3" s="4" t="s">
        <v>19</v>
      </c>
      <c r="F3" s="4" t="s">
        <v>20</v>
      </c>
      <c r="G3" s="4" t="s">
        <v>21</v>
      </c>
      <c r="H3" s="4"/>
      <c r="I3" s="4"/>
      <c r="J3" s="4" t="s">
        <v>22</v>
      </c>
      <c r="K3" s="5" t="s">
        <v>23</v>
      </c>
      <c r="L3" s="5"/>
      <c r="M3" s="5"/>
      <c r="N3" s="5"/>
      <c r="O3" s="3" t="s">
        <v>24</v>
      </c>
      <c r="P3" s="3" t="s">
        <v>25</v>
      </c>
      <c r="Q3" s="3" t="s">
        <v>26</v>
      </c>
      <c r="R3" s="3" t="s">
        <v>27</v>
      </c>
      <c r="S3" s="3" t="s">
        <v>28</v>
      </c>
      <c r="T3" s="3"/>
      <c r="U3" s="10"/>
      <c r="V3" s="11"/>
      <c r="W3" s="12"/>
      <c r="X3" s="3" t="s">
        <v>29</v>
      </c>
      <c r="Y3" s="3" t="s">
        <v>30</v>
      </c>
      <c r="Z3" s="3" t="s">
        <v>31</v>
      </c>
      <c r="AA3" s="3" t="s">
        <v>32</v>
      </c>
      <c r="AB3" s="3" t="s">
        <v>33</v>
      </c>
      <c r="AC3" s="3" t="s">
        <v>34</v>
      </c>
      <c r="AD3" s="3" t="s">
        <v>35</v>
      </c>
      <c r="AE3" s="3" t="s">
        <v>36</v>
      </c>
      <c r="AF3" s="4"/>
      <c r="AG3" s="4"/>
      <c r="AH3" s="4"/>
      <c r="AI3" s="4"/>
      <c r="AJ3" s="2"/>
      <c r="AK3" s="9"/>
    </row>
    <row r="4" ht="42" spans="1:37">
      <c r="A4" s="3"/>
      <c r="B4" s="3"/>
      <c r="C4" s="3"/>
      <c r="D4" s="13"/>
      <c r="E4" s="13"/>
      <c r="F4" s="13"/>
      <c r="G4" s="14" t="s">
        <v>37</v>
      </c>
      <c r="H4" s="14" t="s">
        <v>38</v>
      </c>
      <c r="I4" s="14" t="s">
        <v>39</v>
      </c>
      <c r="J4" s="13"/>
      <c r="K4" s="14" t="s">
        <v>40</v>
      </c>
      <c r="L4" s="14"/>
      <c r="M4" s="14" t="s">
        <v>41</v>
      </c>
      <c r="N4" s="14" t="s">
        <v>42</v>
      </c>
      <c r="O4" s="15"/>
      <c r="P4" s="14"/>
      <c r="Q4" s="14"/>
      <c r="R4" s="15"/>
      <c r="S4" s="14" t="s">
        <v>43</v>
      </c>
      <c r="T4" s="16" t="s">
        <v>44</v>
      </c>
      <c r="U4" s="10"/>
      <c r="V4" s="11"/>
      <c r="W4" s="12"/>
      <c r="X4" s="15"/>
      <c r="Y4" s="15"/>
      <c r="Z4" s="15"/>
      <c r="AA4" s="15"/>
      <c r="AB4" s="14"/>
      <c r="AC4" s="14"/>
      <c r="AD4" s="14"/>
      <c r="AE4" s="14"/>
      <c r="AF4" s="17"/>
      <c r="AG4" s="17"/>
      <c r="AH4" s="17"/>
      <c r="AI4" s="17"/>
      <c r="AJ4" s="15"/>
      <c r="AK4" s="9"/>
    </row>
    <row r="5" spans="1:37">
      <c r="A5" s="18" t="s">
        <v>138</v>
      </c>
      <c r="B5" s="18" t="s">
        <v>139</v>
      </c>
      <c r="C5" s="18" t="s">
        <v>140</v>
      </c>
      <c r="D5" s="19">
        <v>0</v>
      </c>
      <c r="E5" s="19">
        <v>0</v>
      </c>
      <c r="F5" s="19">
        <v>0</v>
      </c>
      <c r="G5" s="19">
        <v>3</v>
      </c>
      <c r="H5" s="20">
        <v>3</v>
      </c>
      <c r="I5" s="20">
        <v>2</v>
      </c>
      <c r="J5" s="20">
        <v>0</v>
      </c>
      <c r="K5" s="21">
        <v>1.6</v>
      </c>
      <c r="L5" s="22"/>
      <c r="M5" s="20">
        <v>0</v>
      </c>
      <c r="N5" s="20">
        <v>0</v>
      </c>
      <c r="O5" s="19">
        <v>12</v>
      </c>
      <c r="P5" s="19">
        <v>0</v>
      </c>
      <c r="Q5" s="19">
        <v>2</v>
      </c>
      <c r="R5" s="19">
        <v>0</v>
      </c>
      <c r="S5" s="19">
        <v>0</v>
      </c>
      <c r="T5" s="19">
        <v>0.5</v>
      </c>
      <c r="U5" s="21">
        <v>5</v>
      </c>
      <c r="V5" s="23"/>
      <c r="W5" s="22"/>
      <c r="X5" s="20">
        <v>0</v>
      </c>
      <c r="Y5" s="20">
        <v>3</v>
      </c>
      <c r="Z5" s="20">
        <v>3</v>
      </c>
      <c r="AA5" s="20">
        <v>0</v>
      </c>
      <c r="AB5" s="20">
        <v>0</v>
      </c>
      <c r="AC5" s="20">
        <v>0</v>
      </c>
      <c r="AD5" s="20">
        <v>0</v>
      </c>
      <c r="AE5" s="20">
        <v>0</v>
      </c>
      <c r="AF5" s="20">
        <f t="shared" ref="AF5:AF34" si="0">SUM(D5:AE5)</f>
        <v>35.1</v>
      </c>
      <c r="AG5" s="20">
        <v>10.53</v>
      </c>
      <c r="AH5" s="24">
        <v>88.8039</v>
      </c>
      <c r="AI5" s="27">
        <v>62.16273</v>
      </c>
      <c r="AJ5" s="20">
        <v>0.25</v>
      </c>
      <c r="AK5" s="25">
        <f>((AG5+AI5+AJ5)-0)+0</f>
        <v>72.94273</v>
      </c>
    </row>
    <row r="6" spans="1:37">
      <c r="A6" s="18" t="s">
        <v>141</v>
      </c>
      <c r="B6" s="18" t="s">
        <v>142</v>
      </c>
      <c r="C6" s="18" t="s">
        <v>140</v>
      </c>
      <c r="D6" s="19">
        <v>0</v>
      </c>
      <c r="E6" s="19">
        <v>0</v>
      </c>
      <c r="F6" s="19">
        <v>2</v>
      </c>
      <c r="G6" s="19">
        <v>0</v>
      </c>
      <c r="H6" s="20">
        <v>3</v>
      </c>
      <c r="I6" s="20">
        <v>0</v>
      </c>
      <c r="J6" s="20">
        <v>3</v>
      </c>
      <c r="K6" s="21">
        <v>5</v>
      </c>
      <c r="L6" s="22"/>
      <c r="M6" s="20">
        <v>0</v>
      </c>
      <c r="N6" s="20">
        <v>2</v>
      </c>
      <c r="O6" s="19">
        <v>9</v>
      </c>
      <c r="P6" s="19">
        <v>0</v>
      </c>
      <c r="Q6" s="19">
        <v>1.2</v>
      </c>
      <c r="R6" s="19">
        <v>0</v>
      </c>
      <c r="S6" s="19">
        <v>0</v>
      </c>
      <c r="T6" s="19">
        <v>0</v>
      </c>
      <c r="U6" s="21">
        <v>5</v>
      </c>
      <c r="V6" s="23"/>
      <c r="W6" s="22"/>
      <c r="X6" s="20">
        <v>0</v>
      </c>
      <c r="Y6" s="20">
        <v>3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0</v>
      </c>
      <c r="AF6" s="20">
        <f t="shared" si="0"/>
        <v>33.2</v>
      </c>
      <c r="AG6" s="20">
        <v>9.96</v>
      </c>
      <c r="AH6" s="24">
        <v>76.3725</v>
      </c>
      <c r="AI6" s="27">
        <v>53.46075</v>
      </c>
      <c r="AJ6" s="20">
        <v>0</v>
      </c>
      <c r="AK6" s="25">
        <f t="shared" ref="AK6:AK34" si="1">((AG6+AI6+AJ6)-0)+0</f>
        <v>63.42075</v>
      </c>
    </row>
    <row r="7" spans="1:37">
      <c r="A7" s="18" t="s">
        <v>143</v>
      </c>
      <c r="B7" s="18" t="s">
        <v>144</v>
      </c>
      <c r="C7" s="18" t="s">
        <v>140</v>
      </c>
      <c r="D7" s="19">
        <v>0</v>
      </c>
      <c r="E7" s="19">
        <v>0</v>
      </c>
      <c r="F7" s="19">
        <v>0</v>
      </c>
      <c r="G7" s="19">
        <v>0</v>
      </c>
      <c r="H7" s="20">
        <v>2</v>
      </c>
      <c r="I7" s="20">
        <v>0</v>
      </c>
      <c r="J7" s="20">
        <v>0</v>
      </c>
      <c r="K7" s="21">
        <v>1.6</v>
      </c>
      <c r="L7" s="22"/>
      <c r="M7" s="20">
        <v>0</v>
      </c>
      <c r="N7" s="20">
        <v>0</v>
      </c>
      <c r="O7" s="19">
        <v>9</v>
      </c>
      <c r="P7" s="19">
        <v>0</v>
      </c>
      <c r="Q7" s="19">
        <v>1.2</v>
      </c>
      <c r="R7" s="19">
        <v>0</v>
      </c>
      <c r="S7" s="19">
        <v>0</v>
      </c>
      <c r="T7" s="19">
        <v>0</v>
      </c>
      <c r="U7" s="21">
        <v>5</v>
      </c>
      <c r="V7" s="23"/>
      <c r="W7" s="22"/>
      <c r="X7" s="20">
        <v>0</v>
      </c>
      <c r="Y7" s="20">
        <v>0</v>
      </c>
      <c r="Z7" s="20">
        <v>3</v>
      </c>
      <c r="AA7" s="20">
        <v>0</v>
      </c>
      <c r="AB7" s="20">
        <v>0</v>
      </c>
      <c r="AC7" s="20">
        <v>0</v>
      </c>
      <c r="AD7" s="20">
        <v>0</v>
      </c>
      <c r="AE7" s="20">
        <v>0</v>
      </c>
      <c r="AF7" s="20">
        <f t="shared" si="0"/>
        <v>21.8</v>
      </c>
      <c r="AG7" s="20">
        <v>6.54</v>
      </c>
      <c r="AH7" s="24">
        <v>70.3333</v>
      </c>
      <c r="AI7" s="27">
        <v>49.23331</v>
      </c>
      <c r="AJ7" s="20">
        <v>0</v>
      </c>
      <c r="AK7" s="25">
        <f t="shared" si="1"/>
        <v>55.77331</v>
      </c>
    </row>
    <row r="8" spans="1:37">
      <c r="A8" s="18" t="s">
        <v>145</v>
      </c>
      <c r="B8" s="18" t="s">
        <v>146</v>
      </c>
      <c r="C8" s="18" t="s">
        <v>140</v>
      </c>
      <c r="D8" s="19">
        <v>0</v>
      </c>
      <c r="E8" s="1">
        <v>0</v>
      </c>
      <c r="F8" s="19">
        <v>2</v>
      </c>
      <c r="G8" s="19">
        <v>3</v>
      </c>
      <c r="H8" s="20">
        <v>4</v>
      </c>
      <c r="I8" s="20">
        <v>2</v>
      </c>
      <c r="J8" s="20">
        <v>0</v>
      </c>
      <c r="K8" s="21">
        <v>1.6</v>
      </c>
      <c r="L8" s="22"/>
      <c r="M8" s="20">
        <v>0</v>
      </c>
      <c r="N8" s="20">
        <v>1</v>
      </c>
      <c r="O8" s="19">
        <v>10.5</v>
      </c>
      <c r="P8" s="19">
        <v>0</v>
      </c>
      <c r="Q8" s="19">
        <v>1.6</v>
      </c>
      <c r="R8" s="19">
        <v>0</v>
      </c>
      <c r="S8" s="19">
        <v>0</v>
      </c>
      <c r="T8" s="19">
        <v>0.5</v>
      </c>
      <c r="U8" s="21">
        <v>5</v>
      </c>
      <c r="V8" s="23"/>
      <c r="W8" s="22"/>
      <c r="X8" s="20">
        <v>0</v>
      </c>
      <c r="Y8" s="20">
        <v>0</v>
      </c>
      <c r="Z8" s="20">
        <v>6</v>
      </c>
      <c r="AA8" s="20">
        <v>0</v>
      </c>
      <c r="AB8" s="20">
        <v>0.5</v>
      </c>
      <c r="AC8" s="20">
        <v>0</v>
      </c>
      <c r="AD8" s="20">
        <v>0</v>
      </c>
      <c r="AE8" s="20">
        <v>0</v>
      </c>
      <c r="AF8" s="20">
        <f t="shared" si="0"/>
        <v>37.7</v>
      </c>
      <c r="AG8" s="20">
        <v>11.31</v>
      </c>
      <c r="AH8" s="24">
        <v>94.1373</v>
      </c>
      <c r="AI8" s="27">
        <v>65.89611</v>
      </c>
      <c r="AJ8" s="20">
        <v>4</v>
      </c>
      <c r="AK8" s="25">
        <f t="shared" si="1"/>
        <v>81.20611</v>
      </c>
    </row>
    <row r="9" spans="1:37">
      <c r="A9" s="18" t="s">
        <v>147</v>
      </c>
      <c r="B9" s="18" t="s">
        <v>148</v>
      </c>
      <c r="C9" s="18" t="s">
        <v>140</v>
      </c>
      <c r="D9" s="19">
        <v>0</v>
      </c>
      <c r="E9" s="19">
        <v>0</v>
      </c>
      <c r="F9" s="19">
        <v>2</v>
      </c>
      <c r="G9" s="19">
        <v>6</v>
      </c>
      <c r="H9" s="20">
        <v>4</v>
      </c>
      <c r="I9" s="20">
        <v>0</v>
      </c>
      <c r="J9" s="20">
        <v>0</v>
      </c>
      <c r="K9" s="21">
        <v>0.6</v>
      </c>
      <c r="L9" s="22"/>
      <c r="M9" s="20">
        <v>0</v>
      </c>
      <c r="N9" s="20">
        <v>1</v>
      </c>
      <c r="O9" s="19">
        <v>9</v>
      </c>
      <c r="P9" s="19">
        <v>0</v>
      </c>
      <c r="Q9" s="19">
        <v>1.2</v>
      </c>
      <c r="R9" s="19">
        <v>0</v>
      </c>
      <c r="S9" s="19">
        <v>0</v>
      </c>
      <c r="T9" s="19">
        <v>1</v>
      </c>
      <c r="U9" s="21">
        <v>5</v>
      </c>
      <c r="V9" s="23"/>
      <c r="W9" s="22"/>
      <c r="X9" s="20">
        <v>0</v>
      </c>
      <c r="Y9" s="20">
        <v>0</v>
      </c>
      <c r="Z9" s="20">
        <v>4.5</v>
      </c>
      <c r="AA9" s="20">
        <v>0</v>
      </c>
      <c r="AB9" s="20">
        <v>8</v>
      </c>
      <c r="AC9" s="20">
        <v>0</v>
      </c>
      <c r="AD9" s="20">
        <v>0</v>
      </c>
      <c r="AE9" s="20">
        <v>0</v>
      </c>
      <c r="AF9" s="20">
        <f t="shared" si="0"/>
        <v>42.3</v>
      </c>
      <c r="AG9" s="20">
        <v>12.69</v>
      </c>
      <c r="AH9" s="24">
        <v>81.7843</v>
      </c>
      <c r="AI9" s="27">
        <v>57.24901</v>
      </c>
      <c r="AJ9" s="20">
        <v>3</v>
      </c>
      <c r="AK9" s="25">
        <f t="shared" si="1"/>
        <v>72.93901</v>
      </c>
    </row>
    <row r="10" spans="1:37">
      <c r="A10" s="18" t="s">
        <v>149</v>
      </c>
      <c r="B10" s="18" t="s">
        <v>150</v>
      </c>
      <c r="C10" s="18" t="s">
        <v>140</v>
      </c>
      <c r="D10" s="19">
        <v>0</v>
      </c>
      <c r="E10" s="19">
        <v>0</v>
      </c>
      <c r="F10" s="19">
        <v>0</v>
      </c>
      <c r="G10" s="19">
        <v>6</v>
      </c>
      <c r="H10" s="20">
        <v>2</v>
      </c>
      <c r="I10" s="20">
        <v>0</v>
      </c>
      <c r="J10" s="20">
        <v>0</v>
      </c>
      <c r="K10" s="21">
        <v>2.6</v>
      </c>
      <c r="L10" s="22"/>
      <c r="M10" s="20">
        <v>0</v>
      </c>
      <c r="N10" s="20">
        <v>0</v>
      </c>
      <c r="O10" s="19">
        <v>9</v>
      </c>
      <c r="P10" s="19">
        <v>0</v>
      </c>
      <c r="Q10" s="19">
        <v>1.2</v>
      </c>
      <c r="R10" s="19">
        <v>0</v>
      </c>
      <c r="S10" s="19">
        <v>0</v>
      </c>
      <c r="T10" s="19">
        <v>0.5</v>
      </c>
      <c r="U10" s="21">
        <v>5</v>
      </c>
      <c r="V10" s="23"/>
      <c r="W10" s="22"/>
      <c r="X10" s="20">
        <v>0</v>
      </c>
      <c r="Y10" s="20">
        <v>0</v>
      </c>
      <c r="Z10" s="20">
        <v>0</v>
      </c>
      <c r="AA10" s="20">
        <v>0</v>
      </c>
      <c r="AB10" s="20">
        <v>8</v>
      </c>
      <c r="AC10" s="20">
        <v>0</v>
      </c>
      <c r="AD10" s="20">
        <v>0</v>
      </c>
      <c r="AE10" s="20">
        <v>0</v>
      </c>
      <c r="AF10" s="20">
        <f t="shared" si="0"/>
        <v>34.3</v>
      </c>
      <c r="AG10" s="20">
        <v>10.29</v>
      </c>
      <c r="AH10" s="24">
        <v>70.2157</v>
      </c>
      <c r="AI10" s="27">
        <v>49.15099</v>
      </c>
      <c r="AJ10" s="20">
        <v>0</v>
      </c>
      <c r="AK10" s="25">
        <f t="shared" si="1"/>
        <v>59.44099</v>
      </c>
    </row>
    <row r="11" spans="1:37">
      <c r="A11" s="18" t="s">
        <v>151</v>
      </c>
      <c r="B11" s="18" t="s">
        <v>152</v>
      </c>
      <c r="C11" s="18" t="s">
        <v>140</v>
      </c>
      <c r="D11" s="19">
        <v>0</v>
      </c>
      <c r="E11" s="19">
        <v>0</v>
      </c>
      <c r="F11" s="19">
        <v>0</v>
      </c>
      <c r="G11" s="19">
        <v>0</v>
      </c>
      <c r="H11" s="20">
        <v>2</v>
      </c>
      <c r="I11" s="20">
        <v>0</v>
      </c>
      <c r="J11" s="20">
        <v>0</v>
      </c>
      <c r="K11" s="21">
        <v>1.6</v>
      </c>
      <c r="L11" s="22"/>
      <c r="M11" s="20">
        <v>0</v>
      </c>
      <c r="N11" s="20">
        <v>0</v>
      </c>
      <c r="O11" s="19">
        <v>9</v>
      </c>
      <c r="P11" s="19">
        <v>0</v>
      </c>
      <c r="Q11" s="19">
        <v>1.2</v>
      </c>
      <c r="R11" s="19">
        <v>0</v>
      </c>
      <c r="S11" s="19">
        <v>0</v>
      </c>
      <c r="T11" s="19">
        <v>0</v>
      </c>
      <c r="U11" s="21">
        <v>5</v>
      </c>
      <c r="V11" s="23"/>
      <c r="W11" s="22"/>
      <c r="X11" s="20">
        <v>0</v>
      </c>
      <c r="Y11" s="20">
        <v>3</v>
      </c>
      <c r="Z11" s="20">
        <v>0</v>
      </c>
      <c r="AA11" s="20">
        <v>0</v>
      </c>
      <c r="AB11" s="20">
        <v>0</v>
      </c>
      <c r="AC11" s="20">
        <v>0</v>
      </c>
      <c r="AD11" s="20">
        <v>0</v>
      </c>
      <c r="AE11" s="20">
        <v>0</v>
      </c>
      <c r="AF11" s="20">
        <f t="shared" si="0"/>
        <v>21.8</v>
      </c>
      <c r="AG11" s="20">
        <v>6.54</v>
      </c>
      <c r="AH11" s="24">
        <v>68.1373</v>
      </c>
      <c r="AI11" s="27">
        <v>47.69611</v>
      </c>
      <c r="AJ11" s="20">
        <v>0</v>
      </c>
      <c r="AK11" s="25">
        <f t="shared" si="1"/>
        <v>54.23611</v>
      </c>
    </row>
    <row r="12" spans="1:37">
      <c r="A12" s="18" t="s">
        <v>153</v>
      </c>
      <c r="B12" s="18" t="s">
        <v>154</v>
      </c>
      <c r="C12" s="18" t="s">
        <v>140</v>
      </c>
      <c r="D12" s="19">
        <v>2</v>
      </c>
      <c r="E12" s="19">
        <v>2</v>
      </c>
      <c r="F12" s="19">
        <v>0</v>
      </c>
      <c r="G12" s="19">
        <v>2</v>
      </c>
      <c r="H12" s="20">
        <v>3</v>
      </c>
      <c r="I12" s="20">
        <v>0</v>
      </c>
      <c r="J12" s="20">
        <v>0</v>
      </c>
      <c r="K12" s="21">
        <v>0.6</v>
      </c>
      <c r="L12" s="22"/>
      <c r="M12" s="20">
        <v>0</v>
      </c>
      <c r="N12" s="20">
        <v>0</v>
      </c>
      <c r="O12" s="19">
        <v>9</v>
      </c>
      <c r="P12" s="19">
        <v>2</v>
      </c>
      <c r="Q12" s="19">
        <v>1.2</v>
      </c>
      <c r="R12" s="19">
        <v>2</v>
      </c>
      <c r="S12" s="19">
        <v>2</v>
      </c>
      <c r="T12" s="19">
        <v>2</v>
      </c>
      <c r="U12" s="21">
        <v>5</v>
      </c>
      <c r="V12" s="23"/>
      <c r="W12" s="22"/>
      <c r="X12" s="20">
        <v>0</v>
      </c>
      <c r="Y12" s="20">
        <v>3</v>
      </c>
      <c r="Z12" s="20">
        <v>3.5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f t="shared" si="0"/>
        <v>39.3</v>
      </c>
      <c r="AG12" s="20">
        <v>11.79</v>
      </c>
      <c r="AH12" s="24">
        <v>66.3725</v>
      </c>
      <c r="AI12" s="27">
        <v>46.46075</v>
      </c>
      <c r="AJ12" s="20">
        <v>0</v>
      </c>
      <c r="AK12" s="25">
        <f t="shared" si="1"/>
        <v>58.25075</v>
      </c>
    </row>
    <row r="13" spans="1:37">
      <c r="A13" s="18" t="s">
        <v>155</v>
      </c>
      <c r="B13" s="18" t="s">
        <v>156</v>
      </c>
      <c r="C13" s="18" t="s">
        <v>140</v>
      </c>
      <c r="D13" s="19">
        <v>0</v>
      </c>
      <c r="E13" s="19">
        <v>0</v>
      </c>
      <c r="F13" s="19">
        <v>0</v>
      </c>
      <c r="G13" s="19">
        <v>6</v>
      </c>
      <c r="H13" s="20">
        <v>3</v>
      </c>
      <c r="I13" s="20">
        <v>0</v>
      </c>
      <c r="J13" s="20">
        <v>0</v>
      </c>
      <c r="K13" s="21">
        <v>2.6</v>
      </c>
      <c r="L13" s="22"/>
      <c r="M13" s="20">
        <v>0</v>
      </c>
      <c r="N13" s="20">
        <v>0</v>
      </c>
      <c r="O13" s="19">
        <v>9</v>
      </c>
      <c r="P13" s="19">
        <v>0</v>
      </c>
      <c r="Q13" s="19">
        <v>1.2</v>
      </c>
      <c r="R13" s="19">
        <v>0</v>
      </c>
      <c r="S13" s="19">
        <v>0</v>
      </c>
      <c r="T13" s="19">
        <v>1</v>
      </c>
      <c r="U13" s="21">
        <v>5</v>
      </c>
      <c r="V13" s="23"/>
      <c r="W13" s="22"/>
      <c r="X13" s="20">
        <v>0</v>
      </c>
      <c r="Y13" s="20">
        <v>5</v>
      </c>
      <c r="Z13" s="20">
        <v>6</v>
      </c>
      <c r="AA13" s="20">
        <v>1</v>
      </c>
      <c r="AB13" s="20">
        <v>0</v>
      </c>
      <c r="AC13" s="20">
        <v>0</v>
      </c>
      <c r="AD13" s="20">
        <v>0</v>
      </c>
      <c r="AE13" s="20">
        <v>0</v>
      </c>
      <c r="AF13" s="20">
        <f t="shared" si="0"/>
        <v>39.8</v>
      </c>
      <c r="AG13" s="20">
        <v>11.94</v>
      </c>
      <c r="AH13" s="24">
        <v>83.4706</v>
      </c>
      <c r="AI13" s="27">
        <v>58.42942</v>
      </c>
      <c r="AJ13" s="20">
        <v>0.5</v>
      </c>
      <c r="AK13" s="25">
        <f t="shared" si="1"/>
        <v>70.86942</v>
      </c>
    </row>
    <row r="14" spans="1:37">
      <c r="A14" s="18" t="s">
        <v>157</v>
      </c>
      <c r="B14" s="18" t="s">
        <v>158</v>
      </c>
      <c r="C14" s="18" t="s">
        <v>140</v>
      </c>
      <c r="D14" s="19">
        <v>0</v>
      </c>
      <c r="E14" s="19">
        <v>0</v>
      </c>
      <c r="F14" s="19">
        <v>0</v>
      </c>
      <c r="G14" s="19">
        <v>6</v>
      </c>
      <c r="H14" s="20">
        <v>3</v>
      </c>
      <c r="I14" s="20">
        <v>0</v>
      </c>
      <c r="J14" s="20">
        <v>0</v>
      </c>
      <c r="K14" s="21">
        <v>2.6</v>
      </c>
      <c r="L14" s="22"/>
      <c r="M14" s="20">
        <v>0</v>
      </c>
      <c r="N14" s="20">
        <v>0</v>
      </c>
      <c r="O14" s="19">
        <v>9</v>
      </c>
      <c r="P14" s="19">
        <v>0</v>
      </c>
      <c r="Q14" s="19">
        <v>1.2</v>
      </c>
      <c r="R14" s="19">
        <v>0</v>
      </c>
      <c r="S14" s="19">
        <v>0</v>
      </c>
      <c r="T14" s="19">
        <v>0.5</v>
      </c>
      <c r="U14" s="21">
        <v>5</v>
      </c>
      <c r="V14" s="23"/>
      <c r="W14" s="22"/>
      <c r="X14" s="20">
        <v>0</v>
      </c>
      <c r="Y14" s="20">
        <v>3</v>
      </c>
      <c r="Z14" s="20">
        <v>0</v>
      </c>
      <c r="AA14" s="20">
        <v>0</v>
      </c>
      <c r="AB14" s="20">
        <v>8</v>
      </c>
      <c r="AC14" s="20">
        <v>0</v>
      </c>
      <c r="AD14" s="20">
        <v>0</v>
      </c>
      <c r="AE14" s="20">
        <v>0</v>
      </c>
      <c r="AF14" s="20">
        <f t="shared" si="0"/>
        <v>38.3</v>
      </c>
      <c r="AG14" s="20">
        <v>11.49</v>
      </c>
      <c r="AH14" s="24">
        <v>84.6078</v>
      </c>
      <c r="AI14" s="27">
        <v>59.22546</v>
      </c>
      <c r="AJ14" s="20">
        <v>0</v>
      </c>
      <c r="AK14" s="25">
        <f t="shared" si="1"/>
        <v>70.71546</v>
      </c>
    </row>
    <row r="15" spans="1:37">
      <c r="A15" s="18" t="s">
        <v>159</v>
      </c>
      <c r="B15" s="18" t="s">
        <v>160</v>
      </c>
      <c r="C15" s="18" t="s">
        <v>140</v>
      </c>
      <c r="D15" s="19">
        <v>0</v>
      </c>
      <c r="E15" s="19">
        <v>0</v>
      </c>
      <c r="F15" s="19">
        <v>0</v>
      </c>
      <c r="G15" s="19">
        <v>6</v>
      </c>
      <c r="H15" s="20">
        <v>3</v>
      </c>
      <c r="I15" s="20">
        <v>0</v>
      </c>
      <c r="J15" s="20">
        <v>0</v>
      </c>
      <c r="K15" s="21">
        <v>1.6</v>
      </c>
      <c r="L15" s="22"/>
      <c r="M15" s="20">
        <v>0</v>
      </c>
      <c r="N15" s="20">
        <v>0</v>
      </c>
      <c r="O15" s="19">
        <v>10.5</v>
      </c>
      <c r="P15" s="19">
        <v>0</v>
      </c>
      <c r="Q15" s="19">
        <v>1.6</v>
      </c>
      <c r="R15" s="19">
        <v>0</v>
      </c>
      <c r="S15" s="19">
        <v>0</v>
      </c>
      <c r="T15" s="19">
        <v>1</v>
      </c>
      <c r="U15" s="21">
        <v>5</v>
      </c>
      <c r="V15" s="23"/>
      <c r="W15" s="22"/>
      <c r="X15" s="20">
        <v>0</v>
      </c>
      <c r="Y15" s="20">
        <v>5</v>
      </c>
      <c r="Z15" s="20">
        <v>6</v>
      </c>
      <c r="AA15" s="20">
        <v>0</v>
      </c>
      <c r="AB15" s="20">
        <v>0.5</v>
      </c>
      <c r="AC15" s="20">
        <v>0</v>
      </c>
      <c r="AD15" s="20">
        <v>0</v>
      </c>
      <c r="AE15" s="20">
        <v>0</v>
      </c>
      <c r="AF15" s="20">
        <f t="shared" si="0"/>
        <v>40.2</v>
      </c>
      <c r="AG15" s="20">
        <v>12.06</v>
      </c>
      <c r="AH15" s="24">
        <v>74.7647</v>
      </c>
      <c r="AI15" s="27">
        <v>52.33529</v>
      </c>
      <c r="AJ15" s="20">
        <v>0</v>
      </c>
      <c r="AK15" s="25">
        <f t="shared" si="1"/>
        <v>64.39529</v>
      </c>
    </row>
    <row r="16" spans="1:37">
      <c r="A16" s="18" t="s">
        <v>161</v>
      </c>
      <c r="B16" s="18" t="s">
        <v>162</v>
      </c>
      <c r="C16" s="18" t="s">
        <v>140</v>
      </c>
      <c r="D16" s="19">
        <v>0</v>
      </c>
      <c r="E16" s="19">
        <v>0</v>
      </c>
      <c r="F16" s="19">
        <v>0</v>
      </c>
      <c r="G16" s="19">
        <v>3</v>
      </c>
      <c r="H16" s="20">
        <v>3</v>
      </c>
      <c r="I16" s="20">
        <v>2</v>
      </c>
      <c r="J16" s="20">
        <v>0</v>
      </c>
      <c r="K16" s="21">
        <v>2.6</v>
      </c>
      <c r="L16" s="22"/>
      <c r="M16" s="20">
        <v>0</v>
      </c>
      <c r="N16" s="20">
        <v>0</v>
      </c>
      <c r="O16" s="19">
        <v>10.5</v>
      </c>
      <c r="P16" s="19">
        <v>0</v>
      </c>
      <c r="Q16" s="19">
        <v>1.6</v>
      </c>
      <c r="R16" s="19">
        <v>0</v>
      </c>
      <c r="S16" s="19">
        <v>0</v>
      </c>
      <c r="T16" s="19">
        <v>0.5</v>
      </c>
      <c r="U16" s="21">
        <v>5</v>
      </c>
      <c r="V16" s="23"/>
      <c r="W16" s="22"/>
      <c r="X16" s="20">
        <v>0</v>
      </c>
      <c r="Y16" s="20">
        <v>3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f t="shared" si="0"/>
        <v>31.2</v>
      </c>
      <c r="AG16" s="20">
        <v>9.36</v>
      </c>
      <c r="AH16" s="24">
        <v>70.3333</v>
      </c>
      <c r="AI16" s="27">
        <v>49.23331</v>
      </c>
      <c r="AJ16" s="20">
        <v>0</v>
      </c>
      <c r="AK16" s="25">
        <f t="shared" si="1"/>
        <v>58.59331</v>
      </c>
    </row>
    <row r="17" spans="1:37">
      <c r="A17" s="18" t="s">
        <v>163</v>
      </c>
      <c r="B17" s="18" t="s">
        <v>164</v>
      </c>
      <c r="C17" s="18" t="s">
        <v>140</v>
      </c>
      <c r="D17" s="19">
        <v>0</v>
      </c>
      <c r="E17" s="19">
        <v>1</v>
      </c>
      <c r="F17" s="19">
        <v>4</v>
      </c>
      <c r="G17" s="19">
        <v>6</v>
      </c>
      <c r="H17" s="20">
        <v>4</v>
      </c>
      <c r="I17" s="20">
        <v>2</v>
      </c>
      <c r="J17" s="20">
        <v>0</v>
      </c>
      <c r="K17" s="21">
        <v>2.6</v>
      </c>
      <c r="L17" s="22"/>
      <c r="M17" s="20">
        <v>0</v>
      </c>
      <c r="N17" s="20">
        <v>1</v>
      </c>
      <c r="O17" s="19">
        <v>9</v>
      </c>
      <c r="P17" s="19">
        <v>0</v>
      </c>
      <c r="Q17" s="19">
        <v>1.2</v>
      </c>
      <c r="R17" s="19">
        <v>0</v>
      </c>
      <c r="S17" s="19">
        <v>0</v>
      </c>
      <c r="T17" s="19">
        <v>3</v>
      </c>
      <c r="U17" s="21">
        <v>5</v>
      </c>
      <c r="V17" s="23"/>
      <c r="W17" s="22"/>
      <c r="X17" s="20">
        <v>0</v>
      </c>
      <c r="Y17" s="20">
        <v>0</v>
      </c>
      <c r="Z17" s="20">
        <v>6</v>
      </c>
      <c r="AA17" s="20">
        <v>1</v>
      </c>
      <c r="AB17" s="20">
        <v>0.5</v>
      </c>
      <c r="AC17" s="20">
        <v>0</v>
      </c>
      <c r="AD17" s="20">
        <v>0</v>
      </c>
      <c r="AE17" s="20">
        <v>0</v>
      </c>
      <c r="AF17" s="20">
        <f t="shared" si="0"/>
        <v>46.3</v>
      </c>
      <c r="AG17" s="20">
        <v>13.89</v>
      </c>
      <c r="AH17" s="24">
        <v>88.1373</v>
      </c>
      <c r="AI17" s="27">
        <v>61.69611</v>
      </c>
      <c r="AJ17" s="20">
        <v>5.75</v>
      </c>
      <c r="AK17" s="25">
        <f t="shared" si="1"/>
        <v>81.33611</v>
      </c>
    </row>
    <row r="18" spans="1:37">
      <c r="A18" s="18" t="s">
        <v>165</v>
      </c>
      <c r="B18" s="18" t="s">
        <v>166</v>
      </c>
      <c r="C18" s="18" t="s">
        <v>140</v>
      </c>
      <c r="D18" s="19">
        <v>0</v>
      </c>
      <c r="E18" s="19">
        <v>0</v>
      </c>
      <c r="F18" s="19">
        <v>0</v>
      </c>
      <c r="G18" s="19">
        <v>0</v>
      </c>
      <c r="H18" s="20">
        <v>3</v>
      </c>
      <c r="I18" s="20">
        <v>0</v>
      </c>
      <c r="J18" s="20">
        <v>0</v>
      </c>
      <c r="K18" s="21">
        <v>2.6</v>
      </c>
      <c r="L18" s="22"/>
      <c r="M18" s="20">
        <v>0</v>
      </c>
      <c r="N18" s="20">
        <v>0</v>
      </c>
      <c r="O18" s="19">
        <v>10.5</v>
      </c>
      <c r="P18" s="19">
        <v>0</v>
      </c>
      <c r="Q18" s="19">
        <v>1.6</v>
      </c>
      <c r="R18" s="19">
        <v>0</v>
      </c>
      <c r="S18" s="19">
        <v>0</v>
      </c>
      <c r="T18" s="19">
        <v>0.5</v>
      </c>
      <c r="U18" s="21">
        <v>5</v>
      </c>
      <c r="V18" s="23"/>
      <c r="W18" s="22"/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f t="shared" si="0"/>
        <v>23.2</v>
      </c>
      <c r="AG18" s="20">
        <v>6.96</v>
      </c>
      <c r="AH18" s="24">
        <v>91.1569</v>
      </c>
      <c r="AI18" s="27">
        <v>63.80983</v>
      </c>
      <c r="AJ18" s="20">
        <v>0</v>
      </c>
      <c r="AK18" s="25">
        <f t="shared" si="1"/>
        <v>70.76983</v>
      </c>
    </row>
    <row r="19" spans="1:37">
      <c r="A19" s="18" t="s">
        <v>167</v>
      </c>
      <c r="B19" s="18" t="s">
        <v>168</v>
      </c>
      <c r="C19" s="18" t="s">
        <v>140</v>
      </c>
      <c r="D19" s="19">
        <v>0</v>
      </c>
      <c r="E19" s="19">
        <v>0</v>
      </c>
      <c r="F19" s="19">
        <v>0</v>
      </c>
      <c r="G19" s="19">
        <v>5</v>
      </c>
      <c r="H19" s="20">
        <v>3</v>
      </c>
      <c r="I19" s="20">
        <v>0</v>
      </c>
      <c r="J19" s="20">
        <v>0</v>
      </c>
      <c r="K19" s="21">
        <v>1.6</v>
      </c>
      <c r="L19" s="22"/>
      <c r="M19" s="20">
        <v>0</v>
      </c>
      <c r="N19" s="20">
        <v>0</v>
      </c>
      <c r="O19" s="19">
        <v>10.5</v>
      </c>
      <c r="P19" s="19">
        <v>0</v>
      </c>
      <c r="Q19" s="19">
        <v>1.6</v>
      </c>
      <c r="R19" s="19">
        <v>0</v>
      </c>
      <c r="S19" s="19">
        <v>0</v>
      </c>
      <c r="T19" s="19">
        <v>0.5</v>
      </c>
      <c r="U19" s="21">
        <v>5</v>
      </c>
      <c r="V19" s="23"/>
      <c r="W19" s="22"/>
      <c r="X19" s="20">
        <v>0</v>
      </c>
      <c r="Y19" s="20">
        <v>3</v>
      </c>
      <c r="Z19" s="20">
        <v>0</v>
      </c>
      <c r="AA19" s="20">
        <v>0</v>
      </c>
      <c r="AB19" s="20">
        <v>4</v>
      </c>
      <c r="AC19" s="20">
        <v>0</v>
      </c>
      <c r="AD19" s="20">
        <v>0</v>
      </c>
      <c r="AE19" s="20">
        <v>0</v>
      </c>
      <c r="AF19" s="20">
        <f t="shared" si="0"/>
        <v>34.2</v>
      </c>
      <c r="AG19" s="20">
        <v>10.26</v>
      </c>
      <c r="AH19" s="24">
        <v>79.0392</v>
      </c>
      <c r="AI19" s="27">
        <v>55.32744</v>
      </c>
      <c r="AJ19" s="20">
        <v>0</v>
      </c>
      <c r="AK19" s="25">
        <f t="shared" si="1"/>
        <v>65.58744</v>
      </c>
    </row>
    <row r="20" spans="1:37">
      <c r="A20" s="18" t="s">
        <v>169</v>
      </c>
      <c r="B20" s="18" t="s">
        <v>170</v>
      </c>
      <c r="C20" s="18" t="s">
        <v>140</v>
      </c>
      <c r="D20" s="19">
        <v>0</v>
      </c>
      <c r="E20" s="19">
        <v>0</v>
      </c>
      <c r="F20" s="19">
        <v>2</v>
      </c>
      <c r="G20" s="19">
        <v>6</v>
      </c>
      <c r="H20" s="20">
        <v>4</v>
      </c>
      <c r="I20" s="20">
        <v>0</v>
      </c>
      <c r="J20" s="20">
        <v>0</v>
      </c>
      <c r="K20" s="21">
        <v>2.6</v>
      </c>
      <c r="L20" s="22"/>
      <c r="M20" s="20">
        <v>0</v>
      </c>
      <c r="N20" s="20">
        <v>1</v>
      </c>
      <c r="O20" s="19">
        <v>9</v>
      </c>
      <c r="P20" s="19">
        <v>0</v>
      </c>
      <c r="Q20" s="19">
        <v>1.2</v>
      </c>
      <c r="R20" s="19">
        <v>0</v>
      </c>
      <c r="S20" s="19">
        <v>0</v>
      </c>
      <c r="T20" s="19">
        <v>2</v>
      </c>
      <c r="U20" s="21">
        <v>5</v>
      </c>
      <c r="V20" s="23"/>
      <c r="W20" s="22"/>
      <c r="X20" s="20">
        <v>0</v>
      </c>
      <c r="Y20" s="20">
        <v>5</v>
      </c>
      <c r="Z20" s="20">
        <v>6</v>
      </c>
      <c r="AA20" s="20">
        <v>0</v>
      </c>
      <c r="AB20" s="20">
        <v>0.5</v>
      </c>
      <c r="AC20" s="20">
        <v>0</v>
      </c>
      <c r="AD20" s="20">
        <v>0</v>
      </c>
      <c r="AE20" s="20">
        <v>0</v>
      </c>
      <c r="AF20" s="20">
        <f t="shared" si="0"/>
        <v>44.3</v>
      </c>
      <c r="AG20" s="20">
        <v>13.29</v>
      </c>
      <c r="AH20" s="24">
        <v>87.2353</v>
      </c>
      <c r="AI20" s="27">
        <v>61.06471</v>
      </c>
      <c r="AJ20" s="20">
        <v>3.5</v>
      </c>
      <c r="AK20" s="25">
        <f t="shared" si="1"/>
        <v>77.85471</v>
      </c>
    </row>
    <row r="21" spans="1:37">
      <c r="A21" s="18" t="s">
        <v>171</v>
      </c>
      <c r="B21" s="18" t="s">
        <v>172</v>
      </c>
      <c r="C21" s="18" t="s">
        <v>140</v>
      </c>
      <c r="D21" s="19">
        <v>0</v>
      </c>
      <c r="E21" s="19">
        <v>0</v>
      </c>
      <c r="F21" s="19">
        <v>0</v>
      </c>
      <c r="G21" s="19">
        <v>0</v>
      </c>
      <c r="H21" s="20">
        <v>2</v>
      </c>
      <c r="I21" s="20">
        <v>0</v>
      </c>
      <c r="J21" s="20">
        <v>0</v>
      </c>
      <c r="K21" s="21">
        <v>0.6</v>
      </c>
      <c r="L21" s="22"/>
      <c r="M21" s="20">
        <v>0</v>
      </c>
      <c r="N21" s="20">
        <v>0</v>
      </c>
      <c r="O21" s="19">
        <v>10.5</v>
      </c>
      <c r="P21" s="19">
        <v>0</v>
      </c>
      <c r="Q21" s="19">
        <v>1.6</v>
      </c>
      <c r="R21" s="19">
        <v>0</v>
      </c>
      <c r="S21" s="19">
        <v>0</v>
      </c>
      <c r="T21" s="19">
        <v>0</v>
      </c>
      <c r="U21" s="21">
        <v>5</v>
      </c>
      <c r="V21" s="23"/>
      <c r="W21" s="22"/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0">
        <f t="shared" si="0"/>
        <v>19.7</v>
      </c>
      <c r="AG21" s="20">
        <v>5.91</v>
      </c>
      <c r="AH21" s="24">
        <v>66.8824</v>
      </c>
      <c r="AI21" s="27">
        <v>46.81768</v>
      </c>
      <c r="AJ21" s="20">
        <v>0</v>
      </c>
      <c r="AK21" s="25">
        <f t="shared" si="1"/>
        <v>52.72768</v>
      </c>
    </row>
    <row r="22" spans="1:37">
      <c r="A22" s="18" t="s">
        <v>173</v>
      </c>
      <c r="B22" s="18" t="s">
        <v>174</v>
      </c>
      <c r="C22" s="18" t="s">
        <v>140</v>
      </c>
      <c r="D22" s="19">
        <v>0</v>
      </c>
      <c r="E22" s="19">
        <v>0</v>
      </c>
      <c r="F22" s="19">
        <v>0</v>
      </c>
      <c r="G22" s="19">
        <v>3</v>
      </c>
      <c r="H22" s="20">
        <v>3</v>
      </c>
      <c r="I22" s="20">
        <v>2</v>
      </c>
      <c r="J22" s="20">
        <v>0</v>
      </c>
      <c r="K22" s="21">
        <v>0.6</v>
      </c>
      <c r="L22" s="22"/>
      <c r="M22" s="20">
        <v>0</v>
      </c>
      <c r="N22" s="20">
        <v>0</v>
      </c>
      <c r="O22" s="19">
        <v>12</v>
      </c>
      <c r="P22" s="19">
        <v>0</v>
      </c>
      <c r="Q22" s="19">
        <v>2</v>
      </c>
      <c r="R22" s="19">
        <v>0</v>
      </c>
      <c r="S22" s="19">
        <v>0</v>
      </c>
      <c r="T22" s="19">
        <v>0</v>
      </c>
      <c r="U22" s="21">
        <v>5</v>
      </c>
      <c r="V22" s="23"/>
      <c r="W22" s="22"/>
      <c r="X22" s="20">
        <v>0</v>
      </c>
      <c r="Y22" s="20">
        <v>3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f t="shared" si="0"/>
        <v>30.6</v>
      </c>
      <c r="AG22" s="20">
        <v>9.18</v>
      </c>
      <c r="AH22" s="24">
        <v>73.1961</v>
      </c>
      <c r="AI22" s="27">
        <v>51.23727</v>
      </c>
      <c r="AJ22" s="20">
        <v>0</v>
      </c>
      <c r="AK22" s="25">
        <f t="shared" si="1"/>
        <v>60.41727</v>
      </c>
    </row>
    <row r="23" spans="1:37">
      <c r="A23" s="18" t="s">
        <v>175</v>
      </c>
      <c r="B23" s="18" t="s">
        <v>176</v>
      </c>
      <c r="C23" s="18" t="s">
        <v>140</v>
      </c>
      <c r="D23" s="19">
        <v>0</v>
      </c>
      <c r="E23" s="19">
        <v>0</v>
      </c>
      <c r="F23" s="19">
        <v>0</v>
      </c>
      <c r="G23" s="19">
        <v>3</v>
      </c>
      <c r="H23" s="20">
        <v>3</v>
      </c>
      <c r="I23" s="20">
        <v>0</v>
      </c>
      <c r="J23" s="20">
        <v>0</v>
      </c>
      <c r="K23" s="21">
        <v>0.6</v>
      </c>
      <c r="L23" s="22"/>
      <c r="M23" s="20">
        <v>0</v>
      </c>
      <c r="N23" s="20">
        <v>0</v>
      </c>
      <c r="O23" s="19">
        <v>12</v>
      </c>
      <c r="P23" s="19">
        <v>0</v>
      </c>
      <c r="Q23" s="19">
        <v>2</v>
      </c>
      <c r="R23" s="19">
        <v>0</v>
      </c>
      <c r="S23" s="19">
        <v>0</v>
      </c>
      <c r="T23" s="19">
        <v>1</v>
      </c>
      <c r="U23" s="21">
        <v>5</v>
      </c>
      <c r="V23" s="23"/>
      <c r="W23" s="22"/>
      <c r="X23" s="20">
        <v>0</v>
      </c>
      <c r="Y23" s="20">
        <v>3</v>
      </c>
      <c r="Z23" s="20">
        <v>0.5</v>
      </c>
      <c r="AA23" s="20">
        <v>0</v>
      </c>
      <c r="AB23" s="20">
        <v>1.5</v>
      </c>
      <c r="AC23" s="20">
        <v>0</v>
      </c>
      <c r="AD23" s="20">
        <v>0</v>
      </c>
      <c r="AE23" s="20">
        <v>0</v>
      </c>
      <c r="AF23" s="20">
        <f t="shared" si="0"/>
        <v>31.6</v>
      </c>
      <c r="AG23" s="20">
        <v>9.48</v>
      </c>
      <c r="AH23" s="24">
        <v>78.6078</v>
      </c>
      <c r="AI23" s="27">
        <v>55.02546</v>
      </c>
      <c r="AJ23" s="20">
        <v>0.25</v>
      </c>
      <c r="AK23" s="25">
        <f t="shared" si="1"/>
        <v>64.75546</v>
      </c>
    </row>
    <row r="24" spans="1:37">
      <c r="A24" s="18" t="s">
        <v>177</v>
      </c>
      <c r="B24" s="18" t="s">
        <v>178</v>
      </c>
      <c r="C24" s="18" t="s">
        <v>140</v>
      </c>
      <c r="D24" s="19">
        <v>3</v>
      </c>
      <c r="E24" s="19">
        <v>2</v>
      </c>
      <c r="F24" s="19">
        <v>2</v>
      </c>
      <c r="G24" s="19">
        <v>3</v>
      </c>
      <c r="H24" s="20">
        <v>4</v>
      </c>
      <c r="I24" s="20">
        <v>0</v>
      </c>
      <c r="J24" s="20">
        <v>0</v>
      </c>
      <c r="K24" s="21">
        <v>1.6</v>
      </c>
      <c r="L24" s="22"/>
      <c r="M24" s="20">
        <v>0</v>
      </c>
      <c r="N24" s="20">
        <v>1</v>
      </c>
      <c r="O24" s="19">
        <v>12</v>
      </c>
      <c r="P24" s="19">
        <v>2</v>
      </c>
      <c r="Q24" s="19">
        <v>2</v>
      </c>
      <c r="R24" s="19">
        <v>2</v>
      </c>
      <c r="S24" s="19">
        <v>3</v>
      </c>
      <c r="T24" s="19">
        <v>3</v>
      </c>
      <c r="U24" s="21">
        <v>5</v>
      </c>
      <c r="V24" s="23"/>
      <c r="W24" s="22"/>
      <c r="X24" s="20">
        <v>0</v>
      </c>
      <c r="Y24" s="20">
        <v>3</v>
      </c>
      <c r="Z24" s="20">
        <v>1</v>
      </c>
      <c r="AA24" s="20">
        <v>0</v>
      </c>
      <c r="AB24" s="20">
        <v>1</v>
      </c>
      <c r="AC24" s="20">
        <v>0</v>
      </c>
      <c r="AD24" s="20">
        <v>0</v>
      </c>
      <c r="AE24" s="20">
        <v>0</v>
      </c>
      <c r="AF24" s="20">
        <f t="shared" si="0"/>
        <v>50.6</v>
      </c>
      <c r="AG24" s="20">
        <v>15.18</v>
      </c>
      <c r="AH24" s="24">
        <v>74.4118</v>
      </c>
      <c r="AI24" s="27">
        <v>52.08826</v>
      </c>
      <c r="AJ24" s="20">
        <v>0.5</v>
      </c>
      <c r="AK24" s="25">
        <f t="shared" si="1"/>
        <v>67.76826</v>
      </c>
    </row>
    <row r="25" spans="1:37">
      <c r="A25" s="18" t="s">
        <v>179</v>
      </c>
      <c r="B25" s="18" t="s">
        <v>180</v>
      </c>
      <c r="C25" s="18" t="s">
        <v>140</v>
      </c>
      <c r="D25" s="19">
        <v>0</v>
      </c>
      <c r="E25" s="19">
        <v>0</v>
      </c>
      <c r="F25" s="19">
        <v>0</v>
      </c>
      <c r="G25" s="19">
        <v>0</v>
      </c>
      <c r="H25" s="20">
        <v>3</v>
      </c>
      <c r="I25" s="20">
        <v>0</v>
      </c>
      <c r="J25" s="20">
        <v>0</v>
      </c>
      <c r="K25" s="21">
        <v>0.6</v>
      </c>
      <c r="L25" s="22"/>
      <c r="M25" s="20">
        <v>0</v>
      </c>
      <c r="N25" s="20">
        <v>0</v>
      </c>
      <c r="O25" s="19">
        <v>12</v>
      </c>
      <c r="P25" s="19">
        <v>0</v>
      </c>
      <c r="Q25" s="19">
        <v>2</v>
      </c>
      <c r="R25" s="19">
        <v>0</v>
      </c>
      <c r="S25" s="19">
        <v>0</v>
      </c>
      <c r="T25" s="19">
        <v>1</v>
      </c>
      <c r="U25" s="21">
        <v>5</v>
      </c>
      <c r="V25" s="23"/>
      <c r="W25" s="22"/>
      <c r="X25" s="20">
        <v>0</v>
      </c>
      <c r="Y25" s="20">
        <v>3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f t="shared" si="0"/>
        <v>26.6</v>
      </c>
      <c r="AG25" s="20">
        <v>7.98</v>
      </c>
      <c r="AH25" s="24">
        <v>84.2941</v>
      </c>
      <c r="AI25" s="27">
        <v>59.00587</v>
      </c>
      <c r="AJ25" s="20">
        <v>0</v>
      </c>
      <c r="AK25" s="25">
        <f t="shared" si="1"/>
        <v>66.98587</v>
      </c>
    </row>
    <row r="26" spans="1:37">
      <c r="A26" s="18" t="s">
        <v>181</v>
      </c>
      <c r="B26" s="18" t="s">
        <v>182</v>
      </c>
      <c r="C26" s="18" t="s">
        <v>140</v>
      </c>
      <c r="D26" s="19">
        <v>2</v>
      </c>
      <c r="E26" s="19">
        <v>2</v>
      </c>
      <c r="F26" s="19">
        <v>0</v>
      </c>
      <c r="G26" s="19">
        <v>2</v>
      </c>
      <c r="H26" s="20">
        <v>3</v>
      </c>
      <c r="I26" s="20">
        <v>0</v>
      </c>
      <c r="J26" s="20">
        <v>0</v>
      </c>
      <c r="K26" s="21">
        <v>0.6</v>
      </c>
      <c r="L26" s="22"/>
      <c r="M26" s="20">
        <v>0</v>
      </c>
      <c r="N26" s="20">
        <v>0</v>
      </c>
      <c r="O26" s="19">
        <v>12</v>
      </c>
      <c r="P26" s="19">
        <v>2</v>
      </c>
      <c r="Q26" s="19">
        <v>2</v>
      </c>
      <c r="R26" s="19">
        <v>2</v>
      </c>
      <c r="S26" s="19">
        <v>2</v>
      </c>
      <c r="T26" s="19">
        <v>3</v>
      </c>
      <c r="U26" s="21">
        <v>5</v>
      </c>
      <c r="V26" s="23"/>
      <c r="W26" s="22"/>
      <c r="X26" s="20">
        <v>0</v>
      </c>
      <c r="Y26" s="20">
        <v>3</v>
      </c>
      <c r="Z26" s="20">
        <v>6</v>
      </c>
      <c r="AA26" s="20">
        <v>0</v>
      </c>
      <c r="AB26" s="20">
        <v>0.5</v>
      </c>
      <c r="AC26" s="20">
        <v>0</v>
      </c>
      <c r="AD26" s="20">
        <v>0</v>
      </c>
      <c r="AE26" s="20">
        <v>0</v>
      </c>
      <c r="AF26" s="20">
        <f t="shared" si="0"/>
        <v>47.1</v>
      </c>
      <c r="AG26" s="20">
        <v>14.13</v>
      </c>
      <c r="AH26" s="24">
        <v>87.6275</v>
      </c>
      <c r="AI26" s="27">
        <v>61.33925</v>
      </c>
      <c r="AJ26" s="20">
        <v>1.75</v>
      </c>
      <c r="AK26" s="25">
        <f t="shared" si="1"/>
        <v>77.21925</v>
      </c>
    </row>
    <row r="27" spans="1:37">
      <c r="A27" s="18" t="s">
        <v>183</v>
      </c>
      <c r="B27" s="18" t="s">
        <v>184</v>
      </c>
      <c r="C27" s="18" t="s">
        <v>140</v>
      </c>
      <c r="D27" s="19">
        <v>4</v>
      </c>
      <c r="E27" s="19">
        <v>2</v>
      </c>
      <c r="F27" s="19">
        <v>2</v>
      </c>
      <c r="G27" s="19">
        <v>4</v>
      </c>
      <c r="H27" s="20">
        <v>4</v>
      </c>
      <c r="I27" s="20">
        <v>0</v>
      </c>
      <c r="J27" s="20">
        <v>0</v>
      </c>
      <c r="K27" s="21">
        <v>2.6</v>
      </c>
      <c r="L27" s="22"/>
      <c r="M27" s="20">
        <v>0</v>
      </c>
      <c r="N27" s="20">
        <v>1</v>
      </c>
      <c r="O27" s="19">
        <v>12</v>
      </c>
      <c r="P27" s="19">
        <v>2</v>
      </c>
      <c r="Q27" s="19">
        <v>2</v>
      </c>
      <c r="R27" s="19">
        <v>2</v>
      </c>
      <c r="S27" s="19">
        <v>3</v>
      </c>
      <c r="T27" s="19">
        <v>3</v>
      </c>
      <c r="U27" s="21">
        <v>5</v>
      </c>
      <c r="V27" s="23"/>
      <c r="W27" s="22"/>
      <c r="X27" s="20">
        <v>0</v>
      </c>
      <c r="Y27" s="20">
        <v>3</v>
      </c>
      <c r="Z27" s="20">
        <v>6</v>
      </c>
      <c r="AA27" s="20">
        <v>0</v>
      </c>
      <c r="AB27" s="20">
        <v>0.5</v>
      </c>
      <c r="AC27" s="20">
        <v>0</v>
      </c>
      <c r="AD27" s="20">
        <v>0</v>
      </c>
      <c r="AE27" s="20">
        <v>0</v>
      </c>
      <c r="AF27" s="20">
        <f t="shared" si="0"/>
        <v>58.1</v>
      </c>
      <c r="AG27" s="20">
        <v>17.43</v>
      </c>
      <c r="AH27" s="24">
        <v>77.0392</v>
      </c>
      <c r="AI27" s="27">
        <v>53.92744</v>
      </c>
      <c r="AJ27" s="20">
        <v>1</v>
      </c>
      <c r="AK27" s="25">
        <f t="shared" si="1"/>
        <v>72.35744</v>
      </c>
    </row>
    <row r="28" spans="1:37">
      <c r="A28" s="18" t="s">
        <v>185</v>
      </c>
      <c r="B28" s="18" t="s">
        <v>186</v>
      </c>
      <c r="C28" s="18" t="s">
        <v>140</v>
      </c>
      <c r="D28" s="19">
        <v>0</v>
      </c>
      <c r="E28" s="19">
        <v>1</v>
      </c>
      <c r="F28" s="19">
        <v>0</v>
      </c>
      <c r="G28" s="19">
        <v>4</v>
      </c>
      <c r="H28" s="20">
        <v>2</v>
      </c>
      <c r="I28" s="20">
        <v>0</v>
      </c>
      <c r="J28" s="20">
        <v>0</v>
      </c>
      <c r="K28" s="21">
        <v>0.6</v>
      </c>
      <c r="L28" s="22"/>
      <c r="M28" s="20">
        <v>0</v>
      </c>
      <c r="N28" s="20">
        <v>0</v>
      </c>
      <c r="O28" s="19">
        <v>10.5</v>
      </c>
      <c r="P28" s="19">
        <v>0</v>
      </c>
      <c r="Q28" s="19">
        <v>1.6</v>
      </c>
      <c r="R28" s="19">
        <v>0</v>
      </c>
      <c r="S28" s="19">
        <v>0</v>
      </c>
      <c r="T28" s="19">
        <v>1</v>
      </c>
      <c r="U28" s="21">
        <v>5</v>
      </c>
      <c r="V28" s="23"/>
      <c r="W28" s="22"/>
      <c r="X28" s="20">
        <v>0</v>
      </c>
      <c r="Y28" s="20">
        <v>3</v>
      </c>
      <c r="Z28" s="20">
        <v>0</v>
      </c>
      <c r="AA28" s="20">
        <v>0</v>
      </c>
      <c r="AB28" s="20">
        <v>3</v>
      </c>
      <c r="AC28" s="20">
        <v>0</v>
      </c>
      <c r="AD28" s="20">
        <v>0</v>
      </c>
      <c r="AE28" s="20">
        <v>0</v>
      </c>
      <c r="AF28" s="20">
        <f t="shared" si="0"/>
        <v>31.7</v>
      </c>
      <c r="AG28" s="20">
        <v>9.51</v>
      </c>
      <c r="AH28" s="24">
        <v>71.1569</v>
      </c>
      <c r="AI28" s="27">
        <v>49.80983</v>
      </c>
      <c r="AJ28" s="20">
        <v>0</v>
      </c>
      <c r="AK28" s="25">
        <f t="shared" si="1"/>
        <v>59.31983</v>
      </c>
    </row>
    <row r="29" spans="1:37">
      <c r="A29" s="18" t="s">
        <v>187</v>
      </c>
      <c r="B29" s="18" t="s">
        <v>188</v>
      </c>
      <c r="C29" s="18" t="s">
        <v>140</v>
      </c>
      <c r="D29" s="19">
        <v>2</v>
      </c>
      <c r="E29" s="19">
        <v>2</v>
      </c>
      <c r="F29" s="19">
        <v>0</v>
      </c>
      <c r="G29" s="28">
        <v>2</v>
      </c>
      <c r="H29" s="20">
        <v>2</v>
      </c>
      <c r="I29" s="20">
        <v>0</v>
      </c>
      <c r="J29" s="20">
        <v>0</v>
      </c>
      <c r="K29" s="21">
        <v>0.6</v>
      </c>
      <c r="L29" s="22"/>
      <c r="M29" s="20">
        <v>0</v>
      </c>
      <c r="N29" s="20">
        <v>0</v>
      </c>
      <c r="O29" s="19">
        <v>12</v>
      </c>
      <c r="P29" s="19">
        <v>2</v>
      </c>
      <c r="Q29" s="19">
        <v>2</v>
      </c>
      <c r="R29" s="19">
        <v>2</v>
      </c>
      <c r="S29" s="19">
        <v>2</v>
      </c>
      <c r="T29" s="19">
        <v>2</v>
      </c>
      <c r="U29" s="21">
        <v>5</v>
      </c>
      <c r="V29" s="23"/>
      <c r="W29" s="22"/>
      <c r="X29" s="20">
        <v>0</v>
      </c>
      <c r="Y29" s="20">
        <v>3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f t="shared" si="0"/>
        <v>38.6</v>
      </c>
      <c r="AG29" s="20">
        <v>11.58</v>
      </c>
      <c r="AH29" s="24">
        <v>73.9804</v>
      </c>
      <c r="AI29" s="27">
        <v>51.78628</v>
      </c>
      <c r="AJ29" s="20">
        <v>0</v>
      </c>
      <c r="AK29" s="25">
        <f t="shared" si="1"/>
        <v>63.36628</v>
      </c>
    </row>
    <row r="30" spans="1:37">
      <c r="A30" s="18" t="s">
        <v>189</v>
      </c>
      <c r="B30" s="18" t="s">
        <v>190</v>
      </c>
      <c r="C30" s="18" t="s">
        <v>140</v>
      </c>
      <c r="D30" s="19">
        <v>0</v>
      </c>
      <c r="E30" s="19">
        <v>0</v>
      </c>
      <c r="F30" s="19">
        <v>0</v>
      </c>
      <c r="G30" s="28">
        <v>0</v>
      </c>
      <c r="H30" s="20">
        <v>3</v>
      </c>
      <c r="I30" s="20">
        <v>0</v>
      </c>
      <c r="J30" s="20">
        <v>0</v>
      </c>
      <c r="K30" s="21">
        <v>1.6</v>
      </c>
      <c r="L30" s="22"/>
      <c r="M30" s="20">
        <v>0</v>
      </c>
      <c r="N30" s="20">
        <v>0</v>
      </c>
      <c r="O30" s="19">
        <v>9</v>
      </c>
      <c r="P30" s="19">
        <v>0</v>
      </c>
      <c r="Q30" s="19">
        <v>1.2</v>
      </c>
      <c r="R30" s="19">
        <v>0</v>
      </c>
      <c r="S30" s="19">
        <v>0</v>
      </c>
      <c r="T30" s="19">
        <v>0.5</v>
      </c>
      <c r="U30" s="21">
        <v>5</v>
      </c>
      <c r="V30" s="23"/>
      <c r="W30" s="22"/>
      <c r="X30" s="20">
        <v>0</v>
      </c>
      <c r="Y30" s="20">
        <v>3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0</v>
      </c>
      <c r="AF30" s="20">
        <f t="shared" si="0"/>
        <v>23.3</v>
      </c>
      <c r="AG30" s="20">
        <v>6.99</v>
      </c>
      <c r="AH30" s="24">
        <v>78.1373</v>
      </c>
      <c r="AI30" s="27">
        <v>54.69611</v>
      </c>
      <c r="AJ30" s="20">
        <v>0</v>
      </c>
      <c r="AK30" s="25">
        <f t="shared" si="1"/>
        <v>61.68611</v>
      </c>
    </row>
    <row r="31" spans="1:37">
      <c r="A31" s="18" t="s">
        <v>191</v>
      </c>
      <c r="B31" s="18" t="s">
        <v>192</v>
      </c>
      <c r="C31" s="18" t="s">
        <v>140</v>
      </c>
      <c r="D31" s="19">
        <v>0</v>
      </c>
      <c r="E31" s="19">
        <v>0</v>
      </c>
      <c r="F31" s="19">
        <v>0</v>
      </c>
      <c r="G31" s="28">
        <v>0</v>
      </c>
      <c r="H31" s="20">
        <v>3</v>
      </c>
      <c r="I31" s="20">
        <v>0</v>
      </c>
      <c r="J31" s="20">
        <v>0</v>
      </c>
      <c r="K31" s="21">
        <v>0.6</v>
      </c>
      <c r="L31" s="22"/>
      <c r="M31" s="20">
        <v>0</v>
      </c>
      <c r="N31" s="20">
        <v>0</v>
      </c>
      <c r="O31" s="19">
        <v>9</v>
      </c>
      <c r="P31" s="19">
        <v>0</v>
      </c>
      <c r="Q31" s="19">
        <v>1.2</v>
      </c>
      <c r="R31" s="19">
        <v>0</v>
      </c>
      <c r="S31" s="19">
        <v>0</v>
      </c>
      <c r="T31" s="19">
        <v>0</v>
      </c>
      <c r="U31" s="21">
        <v>5</v>
      </c>
      <c r="V31" s="23"/>
      <c r="W31" s="22"/>
      <c r="X31" s="20">
        <v>0</v>
      </c>
      <c r="Y31" s="20">
        <v>3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0">
        <f t="shared" si="0"/>
        <v>21.8</v>
      </c>
      <c r="AG31" s="20">
        <v>6.54</v>
      </c>
      <c r="AH31" s="24">
        <v>76.3333</v>
      </c>
      <c r="AI31" s="27">
        <v>53.43331</v>
      </c>
      <c r="AJ31" s="20">
        <v>0.25</v>
      </c>
      <c r="AK31" s="25">
        <f t="shared" si="1"/>
        <v>60.22331</v>
      </c>
    </row>
    <row r="32" spans="1:37">
      <c r="A32" s="18" t="s">
        <v>193</v>
      </c>
      <c r="B32" s="18" t="s">
        <v>194</v>
      </c>
      <c r="C32" s="18" t="s">
        <v>140</v>
      </c>
      <c r="D32" s="19">
        <v>0</v>
      </c>
      <c r="E32" s="19">
        <v>0</v>
      </c>
      <c r="F32" s="19">
        <v>2</v>
      </c>
      <c r="G32" s="28">
        <v>6</v>
      </c>
      <c r="H32" s="20">
        <v>4</v>
      </c>
      <c r="I32" s="20">
        <v>2</v>
      </c>
      <c r="J32" s="20">
        <v>0</v>
      </c>
      <c r="K32" s="21">
        <v>1.6</v>
      </c>
      <c r="L32" s="22"/>
      <c r="M32" s="20">
        <v>0</v>
      </c>
      <c r="N32" s="20">
        <v>1</v>
      </c>
      <c r="O32" s="19">
        <v>9</v>
      </c>
      <c r="P32" s="19">
        <v>0</v>
      </c>
      <c r="Q32" s="19">
        <v>1.2</v>
      </c>
      <c r="R32" s="19">
        <v>0</v>
      </c>
      <c r="S32" s="19">
        <v>0</v>
      </c>
      <c r="T32" s="19">
        <v>1.5</v>
      </c>
      <c r="U32" s="21">
        <v>5</v>
      </c>
      <c r="V32" s="23"/>
      <c r="W32" s="22"/>
      <c r="X32" s="20">
        <v>0</v>
      </c>
      <c r="Y32" s="20">
        <v>3</v>
      </c>
      <c r="Z32" s="20">
        <v>3.5</v>
      </c>
      <c r="AA32" s="20">
        <v>0</v>
      </c>
      <c r="AB32" s="20">
        <v>0.5</v>
      </c>
      <c r="AC32" s="20">
        <v>0</v>
      </c>
      <c r="AD32" s="20">
        <v>0</v>
      </c>
      <c r="AE32" s="20">
        <v>0</v>
      </c>
      <c r="AF32" s="20">
        <f t="shared" si="0"/>
        <v>40.3</v>
      </c>
      <c r="AG32" s="20">
        <v>12.09</v>
      </c>
      <c r="AH32" s="24">
        <v>84.2941</v>
      </c>
      <c r="AI32" s="27">
        <v>59.00587</v>
      </c>
      <c r="AJ32" s="20">
        <v>0</v>
      </c>
      <c r="AK32" s="25">
        <f t="shared" si="1"/>
        <v>71.09587</v>
      </c>
    </row>
    <row r="33" spans="1:37">
      <c r="A33" s="18" t="s">
        <v>195</v>
      </c>
      <c r="B33" s="18" t="s">
        <v>196</v>
      </c>
      <c r="C33" s="18" t="s">
        <v>140</v>
      </c>
      <c r="D33" s="19">
        <v>0</v>
      </c>
      <c r="E33" s="19">
        <v>0</v>
      </c>
      <c r="F33" s="19">
        <v>2</v>
      </c>
      <c r="G33" s="28">
        <v>0</v>
      </c>
      <c r="H33" s="20">
        <v>3</v>
      </c>
      <c r="I33" s="20">
        <v>0</v>
      </c>
      <c r="J33" s="20">
        <v>3</v>
      </c>
      <c r="K33" s="21">
        <v>5</v>
      </c>
      <c r="L33" s="22"/>
      <c r="M33" s="20">
        <v>0</v>
      </c>
      <c r="N33" s="20">
        <v>2</v>
      </c>
      <c r="O33" s="19">
        <v>12</v>
      </c>
      <c r="P33" s="19">
        <v>0</v>
      </c>
      <c r="Q33" s="19">
        <v>2</v>
      </c>
      <c r="R33" s="19">
        <v>0</v>
      </c>
      <c r="S33" s="19">
        <v>0</v>
      </c>
      <c r="T33" s="19">
        <v>0</v>
      </c>
      <c r="U33" s="21">
        <v>5</v>
      </c>
      <c r="V33" s="23"/>
      <c r="W33" s="22"/>
      <c r="X33" s="20">
        <v>0</v>
      </c>
      <c r="Y33" s="20">
        <v>3</v>
      </c>
      <c r="Z33" s="20">
        <v>0</v>
      </c>
      <c r="AA33" s="20">
        <v>0</v>
      </c>
      <c r="AB33" s="20">
        <v>0</v>
      </c>
      <c r="AC33" s="20">
        <v>0</v>
      </c>
      <c r="AD33" s="20">
        <v>0</v>
      </c>
      <c r="AE33" s="20">
        <v>0</v>
      </c>
      <c r="AF33" s="20">
        <f t="shared" si="0"/>
        <v>37</v>
      </c>
      <c r="AG33" s="20">
        <v>11.1</v>
      </c>
      <c r="AH33" s="24">
        <v>69.0392</v>
      </c>
      <c r="AI33" s="27">
        <v>48.32744</v>
      </c>
      <c r="AJ33" s="20">
        <v>0</v>
      </c>
      <c r="AK33" s="25">
        <f t="shared" si="1"/>
        <v>59.42744</v>
      </c>
    </row>
    <row r="34" spans="1:37">
      <c r="A34" s="18" t="s">
        <v>197</v>
      </c>
      <c r="B34" s="18" t="s">
        <v>198</v>
      </c>
      <c r="C34" s="18" t="s">
        <v>140</v>
      </c>
      <c r="D34" s="19">
        <v>0</v>
      </c>
      <c r="E34" s="20">
        <v>0</v>
      </c>
      <c r="F34" s="20">
        <v>4</v>
      </c>
      <c r="G34" s="20">
        <v>5</v>
      </c>
      <c r="H34" s="20">
        <v>4</v>
      </c>
      <c r="I34" s="20">
        <v>0</v>
      </c>
      <c r="J34" s="20">
        <v>0</v>
      </c>
      <c r="K34" s="20">
        <v>2.6</v>
      </c>
      <c r="L34" s="20">
        <v>0</v>
      </c>
      <c r="M34" s="20">
        <v>0</v>
      </c>
      <c r="N34" s="20">
        <v>1</v>
      </c>
      <c r="O34" s="20">
        <v>12</v>
      </c>
      <c r="P34" s="19">
        <v>0</v>
      </c>
      <c r="Q34" s="20">
        <v>2</v>
      </c>
      <c r="R34" s="19">
        <v>0</v>
      </c>
      <c r="S34" s="19">
        <v>0</v>
      </c>
      <c r="T34" s="19">
        <v>1.5</v>
      </c>
      <c r="U34" s="21">
        <v>5</v>
      </c>
      <c r="V34" s="23"/>
      <c r="W34" s="22"/>
      <c r="X34" s="20">
        <v>3</v>
      </c>
      <c r="Y34" s="20">
        <v>3</v>
      </c>
      <c r="Z34" s="20">
        <v>0</v>
      </c>
      <c r="AA34" s="20">
        <v>3</v>
      </c>
      <c r="AB34" s="20">
        <v>0.5</v>
      </c>
      <c r="AC34" s="20">
        <v>0</v>
      </c>
      <c r="AD34" s="20">
        <v>0</v>
      </c>
      <c r="AE34" s="20">
        <v>0</v>
      </c>
      <c r="AF34" s="20">
        <f t="shared" si="0"/>
        <v>46.6</v>
      </c>
      <c r="AG34" s="20">
        <v>13.98</v>
      </c>
      <c r="AH34" s="20">
        <v>81.1961</v>
      </c>
      <c r="AI34" s="20">
        <v>56.83727</v>
      </c>
      <c r="AJ34" s="20">
        <v>0</v>
      </c>
      <c r="AK34" s="25">
        <f t="shared" si="1"/>
        <v>70.81727</v>
      </c>
    </row>
  </sheetData>
  <mergeCells count="97">
    <mergeCell ref="A1:AK1"/>
    <mergeCell ref="D2:E2"/>
    <mergeCell ref="F2:I2"/>
    <mergeCell ref="J2:N2"/>
    <mergeCell ref="O2:Q2"/>
    <mergeCell ref="R2:T2"/>
    <mergeCell ref="X2:AB2"/>
    <mergeCell ref="AC2:AE2"/>
    <mergeCell ref="G3:I3"/>
    <mergeCell ref="K3:N3"/>
    <mergeCell ref="S3:T3"/>
    <mergeCell ref="K4:L4"/>
    <mergeCell ref="K5:L5"/>
    <mergeCell ref="U5:W5"/>
    <mergeCell ref="K6:L6"/>
    <mergeCell ref="U6:W6"/>
    <mergeCell ref="K7:L7"/>
    <mergeCell ref="U7:W7"/>
    <mergeCell ref="K8:L8"/>
    <mergeCell ref="U8:W8"/>
    <mergeCell ref="K9:L9"/>
    <mergeCell ref="U9:W9"/>
    <mergeCell ref="K10:L10"/>
    <mergeCell ref="U10:W10"/>
    <mergeCell ref="K11:L11"/>
    <mergeCell ref="U11:W11"/>
    <mergeCell ref="K12:L12"/>
    <mergeCell ref="U12:W12"/>
    <mergeCell ref="K13:L13"/>
    <mergeCell ref="U13:W13"/>
    <mergeCell ref="K14:L14"/>
    <mergeCell ref="U14:W14"/>
    <mergeCell ref="K15:L15"/>
    <mergeCell ref="U15:W15"/>
    <mergeCell ref="K16:L16"/>
    <mergeCell ref="U16:W16"/>
    <mergeCell ref="K17:L17"/>
    <mergeCell ref="U17:W17"/>
    <mergeCell ref="K18:L18"/>
    <mergeCell ref="U18:W18"/>
    <mergeCell ref="K19:L19"/>
    <mergeCell ref="U19:W19"/>
    <mergeCell ref="K20:L20"/>
    <mergeCell ref="U20:W20"/>
    <mergeCell ref="K21:L21"/>
    <mergeCell ref="U21:W21"/>
    <mergeCell ref="K22:L22"/>
    <mergeCell ref="U22:W22"/>
    <mergeCell ref="K23:L23"/>
    <mergeCell ref="U23:W23"/>
    <mergeCell ref="K24:L24"/>
    <mergeCell ref="U24:W24"/>
    <mergeCell ref="K25:L25"/>
    <mergeCell ref="U25:W25"/>
    <mergeCell ref="K26:L26"/>
    <mergeCell ref="U26:W26"/>
    <mergeCell ref="K27:L27"/>
    <mergeCell ref="U27:W27"/>
    <mergeCell ref="K28:L28"/>
    <mergeCell ref="U28:W28"/>
    <mergeCell ref="K29:L29"/>
    <mergeCell ref="U29:W29"/>
    <mergeCell ref="K30:L30"/>
    <mergeCell ref="U30:W30"/>
    <mergeCell ref="K31:L31"/>
    <mergeCell ref="U31:W31"/>
    <mergeCell ref="K32:L32"/>
    <mergeCell ref="U32:W32"/>
    <mergeCell ref="K33:L33"/>
    <mergeCell ref="U33:W33"/>
    <mergeCell ref="U34:W34"/>
    <mergeCell ref="A2:A4"/>
    <mergeCell ref="B2:B4"/>
    <mergeCell ref="C2:C4"/>
    <mergeCell ref="D3:D4"/>
    <mergeCell ref="E3:E4"/>
    <mergeCell ref="F3:F4"/>
    <mergeCell ref="J3:J4"/>
    <mergeCell ref="O3:O4"/>
    <mergeCell ref="P3:P4"/>
    <mergeCell ref="Q3:Q4"/>
    <mergeCell ref="R3:R4"/>
    <mergeCell ref="X3:X4"/>
    <mergeCell ref="Y3:Y4"/>
    <mergeCell ref="Z3:Z4"/>
    <mergeCell ref="AA3:AA4"/>
    <mergeCell ref="AB3:AB4"/>
    <mergeCell ref="AC3:AC4"/>
    <mergeCell ref="AD3:AD4"/>
    <mergeCell ref="AE3:AE4"/>
    <mergeCell ref="AF2:AF4"/>
    <mergeCell ref="AG2:AG4"/>
    <mergeCell ref="AH2:AH4"/>
    <mergeCell ref="AI2:AI4"/>
    <mergeCell ref="AJ2:AJ4"/>
    <mergeCell ref="AK2:AK4"/>
    <mergeCell ref="U2:W4"/>
  </mergeCells>
  <pageMargins left="0.7" right="0.7" top="0.75" bottom="0.75" header="0.3" footer="0.7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34"/>
  <sheetViews>
    <sheetView tabSelected="1" zoomScale="85" zoomScaleNormal="85" topLeftCell="K1" workbookViewId="0">
      <selection activeCell="AK5" sqref="AK5:AK34"/>
    </sheetView>
  </sheetViews>
  <sheetFormatPr defaultColWidth="9" defaultRowHeight="14"/>
  <cols>
    <col min="1" max="1" width="14.1181818181818" style="1" customWidth="1"/>
    <col min="2" max="2" width="9" style="1"/>
    <col min="3" max="3" width="14.2181818181818" style="1" customWidth="1"/>
    <col min="4" max="4" width="9" style="1"/>
    <col min="5" max="5" width="10.6636363636364" style="1" customWidth="1"/>
    <col min="6" max="31" width="9" style="1"/>
    <col min="32" max="32" width="9.33636363636364" style="1" customWidth="1"/>
    <col min="33" max="33" width="9" style="1"/>
    <col min="34" max="34" width="10.2181818181818" style="1" customWidth="1"/>
    <col min="35" max="36" width="9" style="1"/>
    <col min="37" max="37" width="12.2181818181818" style="1" customWidth="1"/>
    <col min="38" max="16384" width="9" style="1"/>
  </cols>
  <sheetData>
    <row r="1" spans="1:37">
      <c r="A1" s="2" t="s">
        <v>199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>
      <c r="A2" s="3" t="s">
        <v>1</v>
      </c>
      <c r="B2" s="3" t="s">
        <v>2</v>
      </c>
      <c r="C2" s="3" t="s">
        <v>3</v>
      </c>
      <c r="D2" s="4" t="s">
        <v>4</v>
      </c>
      <c r="E2" s="5"/>
      <c r="F2" s="4" t="s">
        <v>5</v>
      </c>
      <c r="G2" s="5"/>
      <c r="H2" s="5"/>
      <c r="I2" s="5"/>
      <c r="J2" s="4" t="s">
        <v>6</v>
      </c>
      <c r="K2" s="4"/>
      <c r="L2" s="4"/>
      <c r="M2" s="4"/>
      <c r="N2" s="4"/>
      <c r="O2" s="4" t="s">
        <v>7</v>
      </c>
      <c r="P2" s="5"/>
      <c r="Q2" s="5"/>
      <c r="R2" s="4" t="s">
        <v>8</v>
      </c>
      <c r="S2" s="4"/>
      <c r="T2" s="5"/>
      <c r="U2" s="6" t="s">
        <v>9</v>
      </c>
      <c r="V2" s="7"/>
      <c r="W2" s="8"/>
      <c r="X2" s="4" t="s">
        <v>10</v>
      </c>
      <c r="Y2" s="4"/>
      <c r="Z2" s="4"/>
      <c r="AA2" s="4"/>
      <c r="AB2" s="4"/>
      <c r="AC2" s="5" t="s">
        <v>11</v>
      </c>
      <c r="AD2" s="5"/>
      <c r="AE2" s="5"/>
      <c r="AF2" s="4" t="s">
        <v>12</v>
      </c>
      <c r="AG2" s="4" t="s">
        <v>13</v>
      </c>
      <c r="AH2" s="4" t="s">
        <v>14</v>
      </c>
      <c r="AI2" s="4" t="s">
        <v>15</v>
      </c>
      <c r="AJ2" s="2" t="s">
        <v>16</v>
      </c>
      <c r="AK2" s="9" t="s">
        <v>17</v>
      </c>
    </row>
    <row r="3" spans="1:37">
      <c r="A3" s="3"/>
      <c r="B3" s="3"/>
      <c r="C3" s="3"/>
      <c r="D3" s="4" t="s">
        <v>18</v>
      </c>
      <c r="E3" s="4" t="s">
        <v>19</v>
      </c>
      <c r="F3" s="4" t="s">
        <v>20</v>
      </c>
      <c r="G3" s="4" t="s">
        <v>21</v>
      </c>
      <c r="H3" s="4"/>
      <c r="I3" s="4"/>
      <c r="J3" s="4" t="s">
        <v>22</v>
      </c>
      <c r="K3" s="5" t="s">
        <v>23</v>
      </c>
      <c r="L3" s="5"/>
      <c r="M3" s="5"/>
      <c r="N3" s="5"/>
      <c r="O3" s="3" t="s">
        <v>24</v>
      </c>
      <c r="P3" s="3" t="s">
        <v>25</v>
      </c>
      <c r="Q3" s="3" t="s">
        <v>26</v>
      </c>
      <c r="R3" s="3" t="s">
        <v>27</v>
      </c>
      <c r="S3" s="3" t="s">
        <v>28</v>
      </c>
      <c r="T3" s="3"/>
      <c r="U3" s="10"/>
      <c r="V3" s="11"/>
      <c r="W3" s="12"/>
      <c r="X3" s="3" t="s">
        <v>29</v>
      </c>
      <c r="Y3" s="3" t="s">
        <v>30</v>
      </c>
      <c r="Z3" s="3" t="s">
        <v>31</v>
      </c>
      <c r="AA3" s="3" t="s">
        <v>32</v>
      </c>
      <c r="AB3" s="3" t="s">
        <v>33</v>
      </c>
      <c r="AC3" s="3" t="s">
        <v>34</v>
      </c>
      <c r="AD3" s="3" t="s">
        <v>35</v>
      </c>
      <c r="AE3" s="3" t="s">
        <v>36</v>
      </c>
      <c r="AF3" s="4"/>
      <c r="AG3" s="4"/>
      <c r="AH3" s="4"/>
      <c r="AI3" s="4"/>
      <c r="AJ3" s="2"/>
      <c r="AK3" s="9"/>
    </row>
    <row r="4" ht="42" spans="1:37">
      <c r="A4" s="3"/>
      <c r="B4" s="3"/>
      <c r="C4" s="3"/>
      <c r="D4" s="13"/>
      <c r="E4" s="13"/>
      <c r="F4" s="13"/>
      <c r="G4" s="14" t="s">
        <v>37</v>
      </c>
      <c r="H4" s="14" t="s">
        <v>38</v>
      </c>
      <c r="I4" s="14" t="s">
        <v>39</v>
      </c>
      <c r="J4" s="13"/>
      <c r="K4" s="14" t="s">
        <v>40</v>
      </c>
      <c r="L4" s="14"/>
      <c r="M4" s="14" t="s">
        <v>41</v>
      </c>
      <c r="N4" s="14" t="s">
        <v>42</v>
      </c>
      <c r="O4" s="15"/>
      <c r="P4" s="14"/>
      <c r="Q4" s="14"/>
      <c r="R4" s="15"/>
      <c r="S4" s="14" t="s">
        <v>43</v>
      </c>
      <c r="T4" s="16" t="s">
        <v>44</v>
      </c>
      <c r="U4" s="10"/>
      <c r="V4" s="11"/>
      <c r="W4" s="12"/>
      <c r="X4" s="15"/>
      <c r="Y4" s="15"/>
      <c r="Z4" s="15"/>
      <c r="AA4" s="15"/>
      <c r="AB4" s="14"/>
      <c r="AC4" s="14"/>
      <c r="AD4" s="14"/>
      <c r="AE4" s="14"/>
      <c r="AF4" s="17"/>
      <c r="AG4" s="17"/>
      <c r="AH4" s="17"/>
      <c r="AI4" s="17"/>
      <c r="AJ4" s="15"/>
      <c r="AK4" s="9"/>
    </row>
    <row r="5" ht="13.5" customHeight="1" spans="1:37">
      <c r="A5" s="18">
        <v>2511650101</v>
      </c>
      <c r="B5" s="18" t="s">
        <v>200</v>
      </c>
      <c r="C5" s="18" t="s">
        <v>201</v>
      </c>
      <c r="D5" s="19">
        <v>0</v>
      </c>
      <c r="E5" s="19">
        <v>0</v>
      </c>
      <c r="F5" s="20">
        <v>0</v>
      </c>
      <c r="G5" s="20">
        <v>0</v>
      </c>
      <c r="H5" s="20">
        <v>4</v>
      </c>
      <c r="I5" s="20">
        <v>0</v>
      </c>
      <c r="J5" s="20">
        <v>0</v>
      </c>
      <c r="K5" s="21">
        <v>0.4</v>
      </c>
      <c r="L5" s="22"/>
      <c r="M5" s="20">
        <v>0</v>
      </c>
      <c r="N5" s="20">
        <v>0</v>
      </c>
      <c r="O5" s="19">
        <v>9</v>
      </c>
      <c r="P5" s="19">
        <v>0</v>
      </c>
      <c r="Q5" s="19">
        <v>1.2</v>
      </c>
      <c r="R5" s="19">
        <v>0</v>
      </c>
      <c r="S5" s="19">
        <v>0</v>
      </c>
      <c r="T5" s="19">
        <v>0.5</v>
      </c>
      <c r="U5" s="21">
        <v>5</v>
      </c>
      <c r="V5" s="23"/>
      <c r="W5" s="22"/>
      <c r="X5" s="20">
        <v>0</v>
      </c>
      <c r="Y5" s="20">
        <v>3</v>
      </c>
      <c r="Z5" s="20">
        <v>0.5</v>
      </c>
      <c r="AA5" s="20">
        <v>0</v>
      </c>
      <c r="AB5" s="20">
        <v>0</v>
      </c>
      <c r="AC5" s="20">
        <v>0</v>
      </c>
      <c r="AD5" s="20">
        <v>0</v>
      </c>
      <c r="AE5" s="20">
        <v>0</v>
      </c>
      <c r="AF5" s="20">
        <f t="shared" ref="AF5:AF34" si="0">SUM(D5:AE5)</f>
        <v>23.6</v>
      </c>
      <c r="AG5" s="20">
        <v>7.08</v>
      </c>
      <c r="AH5" s="24">
        <v>72.6863</v>
      </c>
      <c r="AI5" s="25">
        <v>50.88041</v>
      </c>
      <c r="AJ5" s="20">
        <v>0</v>
      </c>
      <c r="AK5" s="25">
        <f>((AG5+AI5+AJ5)-0)+0</f>
        <v>57.96041</v>
      </c>
    </row>
    <row r="6" ht="13.5" customHeight="1" spans="1:37">
      <c r="A6" s="18">
        <v>2511650102</v>
      </c>
      <c r="B6" s="18" t="s">
        <v>202</v>
      </c>
      <c r="C6" s="18" t="s">
        <v>201</v>
      </c>
      <c r="D6" s="19">
        <v>0</v>
      </c>
      <c r="E6" s="19">
        <v>0</v>
      </c>
      <c r="F6" s="20">
        <v>0</v>
      </c>
      <c r="G6" s="20">
        <v>2</v>
      </c>
      <c r="H6" s="20">
        <v>3</v>
      </c>
      <c r="I6" s="20">
        <v>0</v>
      </c>
      <c r="J6" s="20">
        <v>3</v>
      </c>
      <c r="K6" s="21">
        <v>5</v>
      </c>
      <c r="L6" s="22"/>
      <c r="M6" s="20">
        <v>0</v>
      </c>
      <c r="N6" s="20">
        <v>2</v>
      </c>
      <c r="O6" s="19">
        <v>9</v>
      </c>
      <c r="P6" s="19">
        <v>0</v>
      </c>
      <c r="Q6" s="19">
        <v>1.2</v>
      </c>
      <c r="R6" s="19">
        <v>0</v>
      </c>
      <c r="S6" s="19">
        <v>0</v>
      </c>
      <c r="T6" s="19">
        <v>1</v>
      </c>
      <c r="U6" s="21">
        <v>5</v>
      </c>
      <c r="V6" s="23"/>
      <c r="W6" s="22"/>
      <c r="X6" s="20">
        <v>0</v>
      </c>
      <c r="Y6" s="20">
        <v>3</v>
      </c>
      <c r="Z6" s="20">
        <v>0</v>
      </c>
      <c r="AA6" s="20">
        <v>0</v>
      </c>
      <c r="AB6" s="20">
        <v>0.5</v>
      </c>
      <c r="AC6" s="20">
        <v>0</v>
      </c>
      <c r="AD6" s="20">
        <v>0</v>
      </c>
      <c r="AE6" s="20">
        <v>0</v>
      </c>
      <c r="AF6" s="20">
        <f t="shared" si="0"/>
        <v>34.7</v>
      </c>
      <c r="AG6" s="20">
        <v>10.41</v>
      </c>
      <c r="AH6" s="24">
        <v>79.7451</v>
      </c>
      <c r="AI6" s="25">
        <v>55.82157</v>
      </c>
      <c r="AJ6" s="20">
        <v>0</v>
      </c>
      <c r="AK6" s="25">
        <f t="shared" ref="AK6:AK34" si="1">((AG6+AI6+AJ6)-0)+0</f>
        <v>66.23157</v>
      </c>
    </row>
    <row r="7" ht="13.5" customHeight="1" spans="1:37">
      <c r="A7" s="18">
        <v>2511650103</v>
      </c>
      <c r="B7" s="18" t="s">
        <v>203</v>
      </c>
      <c r="C7" s="18" t="s">
        <v>201</v>
      </c>
      <c r="D7" s="19">
        <v>0</v>
      </c>
      <c r="E7" s="19">
        <v>0</v>
      </c>
      <c r="F7" s="20">
        <v>2</v>
      </c>
      <c r="G7" s="20">
        <v>4</v>
      </c>
      <c r="H7" s="20">
        <v>4</v>
      </c>
      <c r="I7" s="20">
        <v>0</v>
      </c>
      <c r="J7" s="20">
        <v>0</v>
      </c>
      <c r="K7" s="21">
        <v>1.4</v>
      </c>
      <c r="L7" s="22"/>
      <c r="M7" s="20">
        <v>0</v>
      </c>
      <c r="N7" s="20">
        <v>1</v>
      </c>
      <c r="O7" s="19">
        <v>9</v>
      </c>
      <c r="P7" s="19">
        <v>0</v>
      </c>
      <c r="Q7" s="19">
        <v>1.2</v>
      </c>
      <c r="R7" s="19">
        <v>0</v>
      </c>
      <c r="S7" s="19">
        <v>0</v>
      </c>
      <c r="T7" s="19">
        <v>1.5</v>
      </c>
      <c r="U7" s="21">
        <v>5</v>
      </c>
      <c r="V7" s="23"/>
      <c r="W7" s="22"/>
      <c r="X7" s="20">
        <v>0</v>
      </c>
      <c r="Y7" s="20">
        <v>3</v>
      </c>
      <c r="Z7" s="20">
        <v>0</v>
      </c>
      <c r="AA7" s="20">
        <v>0</v>
      </c>
      <c r="AB7" s="20">
        <v>0.5</v>
      </c>
      <c r="AC7" s="20">
        <v>2</v>
      </c>
      <c r="AD7" s="20">
        <v>4</v>
      </c>
      <c r="AE7" s="20">
        <v>2</v>
      </c>
      <c r="AF7" s="20">
        <f t="shared" si="0"/>
        <v>40.6</v>
      </c>
      <c r="AG7" s="20">
        <v>12.18</v>
      </c>
      <c r="AH7" s="24">
        <v>89.2353</v>
      </c>
      <c r="AI7" s="25">
        <v>62.46471</v>
      </c>
      <c r="AJ7" s="20">
        <v>0</v>
      </c>
      <c r="AK7" s="25">
        <f t="shared" si="1"/>
        <v>74.64471</v>
      </c>
    </row>
    <row r="8" ht="13.5" customHeight="1" spans="1:37">
      <c r="A8" s="18">
        <v>2511650104</v>
      </c>
      <c r="B8" s="18" t="s">
        <v>204</v>
      </c>
      <c r="C8" s="18" t="s">
        <v>201</v>
      </c>
      <c r="D8" s="19">
        <v>0</v>
      </c>
      <c r="E8" s="19">
        <v>0</v>
      </c>
      <c r="F8" s="20">
        <v>2</v>
      </c>
      <c r="G8" s="20">
        <v>2</v>
      </c>
      <c r="H8" s="20">
        <v>3</v>
      </c>
      <c r="I8" s="20">
        <v>0</v>
      </c>
      <c r="J8" s="20">
        <v>3</v>
      </c>
      <c r="K8" s="21">
        <v>5</v>
      </c>
      <c r="L8" s="22"/>
      <c r="M8" s="20">
        <v>0</v>
      </c>
      <c r="N8" s="20">
        <v>2</v>
      </c>
      <c r="O8" s="19">
        <v>9</v>
      </c>
      <c r="P8" s="19">
        <v>0</v>
      </c>
      <c r="Q8" s="19">
        <v>1.2</v>
      </c>
      <c r="R8" s="19">
        <v>0</v>
      </c>
      <c r="S8" s="19">
        <v>0</v>
      </c>
      <c r="T8" s="19">
        <v>1</v>
      </c>
      <c r="U8" s="21">
        <v>5</v>
      </c>
      <c r="V8" s="23"/>
      <c r="W8" s="22"/>
      <c r="X8" s="20">
        <v>0</v>
      </c>
      <c r="Y8" s="20">
        <v>0</v>
      </c>
      <c r="Z8" s="20">
        <v>0.5</v>
      </c>
      <c r="AA8" s="20">
        <v>0</v>
      </c>
      <c r="AB8" s="20">
        <v>0.5</v>
      </c>
      <c r="AC8" s="20">
        <v>0</v>
      </c>
      <c r="AD8" s="20">
        <v>0</v>
      </c>
      <c r="AE8" s="20">
        <v>0</v>
      </c>
      <c r="AF8" s="20">
        <f t="shared" si="0"/>
        <v>34.2</v>
      </c>
      <c r="AG8" s="20">
        <v>10.26</v>
      </c>
      <c r="AH8" s="24">
        <v>83.2745</v>
      </c>
      <c r="AI8" s="25">
        <v>58.29215</v>
      </c>
      <c r="AJ8" s="20">
        <v>0</v>
      </c>
      <c r="AK8" s="25">
        <f t="shared" si="1"/>
        <v>68.55215</v>
      </c>
    </row>
    <row r="9" ht="13.5" customHeight="1" spans="1:37">
      <c r="A9" s="18">
        <v>2511650105</v>
      </c>
      <c r="B9" s="18" t="s">
        <v>205</v>
      </c>
      <c r="C9" s="18" t="s">
        <v>201</v>
      </c>
      <c r="D9" s="19">
        <v>0</v>
      </c>
      <c r="E9" s="19">
        <v>0</v>
      </c>
      <c r="F9" s="20">
        <v>2</v>
      </c>
      <c r="G9" s="20">
        <v>3</v>
      </c>
      <c r="H9" s="20">
        <v>4</v>
      </c>
      <c r="I9" s="20">
        <v>2</v>
      </c>
      <c r="J9" s="20">
        <v>0</v>
      </c>
      <c r="K9" s="21">
        <v>2.4</v>
      </c>
      <c r="L9" s="22"/>
      <c r="M9" s="20">
        <v>0</v>
      </c>
      <c r="N9" s="20">
        <v>1</v>
      </c>
      <c r="O9" s="19">
        <v>9</v>
      </c>
      <c r="P9" s="19">
        <v>0</v>
      </c>
      <c r="Q9" s="19">
        <v>1.2</v>
      </c>
      <c r="R9" s="19">
        <v>0</v>
      </c>
      <c r="S9" s="19">
        <v>0</v>
      </c>
      <c r="T9" s="19">
        <v>2.5</v>
      </c>
      <c r="U9" s="21">
        <v>5</v>
      </c>
      <c r="V9" s="23"/>
      <c r="W9" s="22"/>
      <c r="X9" s="20">
        <v>0</v>
      </c>
      <c r="Y9" s="20">
        <v>5</v>
      </c>
      <c r="Z9" s="20">
        <v>3.5</v>
      </c>
      <c r="AA9" s="20">
        <v>0</v>
      </c>
      <c r="AB9" s="20">
        <v>0.5</v>
      </c>
      <c r="AC9" s="20">
        <v>0</v>
      </c>
      <c r="AD9" s="20">
        <v>0</v>
      </c>
      <c r="AE9" s="20">
        <v>0</v>
      </c>
      <c r="AF9" s="20">
        <f t="shared" si="0"/>
        <v>41.1</v>
      </c>
      <c r="AG9" s="20">
        <v>12.33</v>
      </c>
      <c r="AH9" s="24">
        <v>86.5294</v>
      </c>
      <c r="AI9" s="25">
        <v>60.57058</v>
      </c>
      <c r="AJ9" s="20">
        <v>0.25</v>
      </c>
      <c r="AK9" s="25">
        <f t="shared" si="1"/>
        <v>73.15058</v>
      </c>
    </row>
    <row r="10" ht="13.5" customHeight="1" spans="1:37">
      <c r="A10" s="18">
        <v>2511650106</v>
      </c>
      <c r="B10" s="18" t="s">
        <v>206</v>
      </c>
      <c r="C10" s="18" t="s">
        <v>201</v>
      </c>
      <c r="D10" s="19">
        <v>0</v>
      </c>
      <c r="E10" s="19">
        <v>0</v>
      </c>
      <c r="F10" s="20">
        <v>0</v>
      </c>
      <c r="G10" s="20">
        <v>0</v>
      </c>
      <c r="H10" s="20">
        <v>2</v>
      </c>
      <c r="I10" s="20">
        <v>0</v>
      </c>
      <c r="J10" s="20">
        <v>0</v>
      </c>
      <c r="K10" s="21">
        <v>0.4</v>
      </c>
      <c r="L10" s="22"/>
      <c r="M10" s="20">
        <v>0</v>
      </c>
      <c r="N10" s="20">
        <v>0</v>
      </c>
      <c r="O10" s="19">
        <v>9</v>
      </c>
      <c r="P10" s="19">
        <v>0</v>
      </c>
      <c r="Q10" s="19">
        <v>1.2</v>
      </c>
      <c r="R10" s="19">
        <v>0</v>
      </c>
      <c r="S10" s="19">
        <v>0</v>
      </c>
      <c r="T10" s="19">
        <v>0</v>
      </c>
      <c r="U10" s="21">
        <v>5</v>
      </c>
      <c r="V10" s="23"/>
      <c r="W10" s="22"/>
      <c r="X10" s="20">
        <v>0</v>
      </c>
      <c r="Y10" s="20">
        <v>3</v>
      </c>
      <c r="Z10" s="20">
        <v>3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f t="shared" si="0"/>
        <v>23.6</v>
      </c>
      <c r="AG10" s="20">
        <v>7.08</v>
      </c>
      <c r="AH10" s="24">
        <v>56.6078</v>
      </c>
      <c r="AI10" s="25">
        <v>39.62546</v>
      </c>
      <c r="AJ10" s="20">
        <v>0</v>
      </c>
      <c r="AK10" s="25">
        <f t="shared" si="1"/>
        <v>46.70546</v>
      </c>
    </row>
    <row r="11" ht="13.5" customHeight="1" spans="1:37">
      <c r="A11" s="18">
        <v>2511650107</v>
      </c>
      <c r="B11" s="18" t="s">
        <v>207</v>
      </c>
      <c r="C11" s="18" t="s">
        <v>201</v>
      </c>
      <c r="D11" s="19">
        <v>0</v>
      </c>
      <c r="E11" s="19">
        <v>0</v>
      </c>
      <c r="F11" s="20">
        <v>0</v>
      </c>
      <c r="G11" s="20">
        <v>0</v>
      </c>
      <c r="H11" s="20">
        <v>3</v>
      </c>
      <c r="I11" s="20">
        <v>0</v>
      </c>
      <c r="J11" s="20">
        <v>0</v>
      </c>
      <c r="K11" s="21">
        <v>1.4</v>
      </c>
      <c r="L11" s="22"/>
      <c r="M11" s="20">
        <v>0</v>
      </c>
      <c r="N11" s="20">
        <v>0</v>
      </c>
      <c r="O11" s="19">
        <v>9</v>
      </c>
      <c r="P11" s="19">
        <v>0</v>
      </c>
      <c r="Q11" s="19">
        <v>1.2</v>
      </c>
      <c r="R11" s="19">
        <v>0</v>
      </c>
      <c r="S11" s="19">
        <v>0</v>
      </c>
      <c r="T11" s="19">
        <v>0</v>
      </c>
      <c r="U11" s="21">
        <v>5</v>
      </c>
      <c r="V11" s="23"/>
      <c r="W11" s="22"/>
      <c r="X11" s="20">
        <v>0</v>
      </c>
      <c r="Y11" s="20">
        <v>3</v>
      </c>
      <c r="Z11" s="20">
        <v>0</v>
      </c>
      <c r="AA11" s="20">
        <v>0</v>
      </c>
      <c r="AB11" s="20">
        <v>0</v>
      </c>
      <c r="AC11" s="20">
        <v>0</v>
      </c>
      <c r="AD11" s="20">
        <v>0</v>
      </c>
      <c r="AE11" s="20">
        <v>0</v>
      </c>
      <c r="AF11" s="20">
        <f t="shared" si="0"/>
        <v>22.6</v>
      </c>
      <c r="AG11" s="20">
        <v>6.78</v>
      </c>
      <c r="AH11" s="24">
        <v>71.4706</v>
      </c>
      <c r="AI11" s="25">
        <v>50.02942</v>
      </c>
      <c r="AJ11" s="20">
        <v>0</v>
      </c>
      <c r="AK11" s="25">
        <f t="shared" si="1"/>
        <v>56.80942</v>
      </c>
    </row>
    <row r="12" ht="13.5" customHeight="1" spans="1:37">
      <c r="A12" s="18">
        <v>2511650108</v>
      </c>
      <c r="B12" s="18" t="s">
        <v>208</v>
      </c>
      <c r="C12" s="18" t="s">
        <v>201</v>
      </c>
      <c r="D12" s="19">
        <v>0</v>
      </c>
      <c r="E12" s="19">
        <v>0</v>
      </c>
      <c r="F12" s="20">
        <v>0</v>
      </c>
      <c r="G12" s="20">
        <v>0</v>
      </c>
      <c r="H12" s="20">
        <v>3</v>
      </c>
      <c r="I12" s="20">
        <v>0</v>
      </c>
      <c r="J12" s="20">
        <v>0</v>
      </c>
      <c r="K12" s="21">
        <v>1.4</v>
      </c>
      <c r="L12" s="22"/>
      <c r="M12" s="20">
        <v>0</v>
      </c>
      <c r="N12" s="20">
        <v>0</v>
      </c>
      <c r="O12" s="19">
        <v>9</v>
      </c>
      <c r="P12" s="19">
        <v>0</v>
      </c>
      <c r="Q12" s="19">
        <v>1.2</v>
      </c>
      <c r="R12" s="19">
        <v>0</v>
      </c>
      <c r="S12" s="19">
        <v>0</v>
      </c>
      <c r="T12" s="19">
        <v>0</v>
      </c>
      <c r="U12" s="21">
        <v>5</v>
      </c>
      <c r="V12" s="23"/>
      <c r="W12" s="22"/>
      <c r="X12" s="20">
        <v>0</v>
      </c>
      <c r="Y12" s="20">
        <v>3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f t="shared" si="0"/>
        <v>22.6</v>
      </c>
      <c r="AG12" s="20">
        <v>6.78</v>
      </c>
      <c r="AH12" s="24">
        <v>76.8039</v>
      </c>
      <c r="AI12" s="25">
        <v>53.76273</v>
      </c>
      <c r="AJ12" s="20">
        <v>0</v>
      </c>
      <c r="AK12" s="25">
        <f t="shared" si="1"/>
        <v>60.54273</v>
      </c>
    </row>
    <row r="13" ht="13.5" customHeight="1" spans="1:37">
      <c r="A13" s="18">
        <v>2511650109</v>
      </c>
      <c r="B13" s="18" t="s">
        <v>209</v>
      </c>
      <c r="C13" s="18" t="s">
        <v>201</v>
      </c>
      <c r="D13" s="19">
        <v>0</v>
      </c>
      <c r="E13" s="19">
        <v>0</v>
      </c>
      <c r="F13" s="20">
        <v>0</v>
      </c>
      <c r="G13" s="20">
        <v>0</v>
      </c>
      <c r="H13" s="20">
        <v>4</v>
      </c>
      <c r="I13" s="20">
        <v>0</v>
      </c>
      <c r="J13" s="20">
        <v>0</v>
      </c>
      <c r="K13" s="21">
        <v>2.4</v>
      </c>
      <c r="L13" s="22"/>
      <c r="M13" s="20">
        <v>0</v>
      </c>
      <c r="N13" s="20">
        <v>0</v>
      </c>
      <c r="O13" s="19">
        <v>12</v>
      </c>
      <c r="P13" s="19">
        <v>0</v>
      </c>
      <c r="Q13" s="19">
        <v>2</v>
      </c>
      <c r="R13" s="19">
        <v>0</v>
      </c>
      <c r="S13" s="19">
        <v>0</v>
      </c>
      <c r="T13" s="19">
        <v>2</v>
      </c>
      <c r="U13" s="21">
        <v>5</v>
      </c>
      <c r="V13" s="23"/>
      <c r="W13" s="22"/>
      <c r="X13" s="20">
        <v>0</v>
      </c>
      <c r="Y13" s="20">
        <v>5</v>
      </c>
      <c r="Z13" s="20">
        <v>6</v>
      </c>
      <c r="AA13" s="20">
        <v>0</v>
      </c>
      <c r="AB13" s="20">
        <v>1</v>
      </c>
      <c r="AC13" s="20">
        <v>0</v>
      </c>
      <c r="AD13" s="20">
        <v>0</v>
      </c>
      <c r="AE13" s="20">
        <v>0</v>
      </c>
      <c r="AF13" s="20">
        <f t="shared" si="0"/>
        <v>39.4</v>
      </c>
      <c r="AG13" s="20">
        <v>11.82</v>
      </c>
      <c r="AH13" s="24">
        <v>92.451</v>
      </c>
      <c r="AI13" s="25">
        <v>64.7157</v>
      </c>
      <c r="AJ13" s="20">
        <v>0.25</v>
      </c>
      <c r="AK13" s="25">
        <f t="shared" si="1"/>
        <v>76.7857</v>
      </c>
    </row>
    <row r="14" ht="13.5" customHeight="1" spans="1:37">
      <c r="A14" s="18">
        <v>2511650110</v>
      </c>
      <c r="B14" s="18" t="s">
        <v>210</v>
      </c>
      <c r="C14" s="18" t="s">
        <v>201</v>
      </c>
      <c r="D14" s="19">
        <v>0</v>
      </c>
      <c r="E14" s="19">
        <v>0</v>
      </c>
      <c r="F14" s="20">
        <v>0</v>
      </c>
      <c r="G14" s="20">
        <v>4</v>
      </c>
      <c r="H14" s="20">
        <v>4</v>
      </c>
      <c r="I14" s="20">
        <v>0</v>
      </c>
      <c r="J14" s="20">
        <v>3</v>
      </c>
      <c r="K14" s="21">
        <v>5</v>
      </c>
      <c r="L14" s="22"/>
      <c r="M14" s="20">
        <v>0</v>
      </c>
      <c r="N14" s="20">
        <v>2</v>
      </c>
      <c r="O14" s="19">
        <v>12</v>
      </c>
      <c r="P14" s="19">
        <v>0</v>
      </c>
      <c r="Q14" s="19">
        <v>2</v>
      </c>
      <c r="R14" s="19">
        <v>0</v>
      </c>
      <c r="S14" s="19">
        <v>0</v>
      </c>
      <c r="T14" s="19">
        <v>2.5</v>
      </c>
      <c r="U14" s="21">
        <v>5</v>
      </c>
      <c r="V14" s="23"/>
      <c r="W14" s="22"/>
      <c r="X14" s="20">
        <v>0</v>
      </c>
      <c r="Y14" s="20">
        <v>3</v>
      </c>
      <c r="Z14" s="20">
        <v>3.5</v>
      </c>
      <c r="AA14" s="20">
        <v>0</v>
      </c>
      <c r="AB14" s="20">
        <v>0.5</v>
      </c>
      <c r="AC14" s="20">
        <v>0</v>
      </c>
      <c r="AD14" s="20">
        <v>0</v>
      </c>
      <c r="AE14" s="20">
        <v>0</v>
      </c>
      <c r="AF14" s="20">
        <f t="shared" si="0"/>
        <v>46.5</v>
      </c>
      <c r="AG14" s="20">
        <v>13.95</v>
      </c>
      <c r="AH14" s="24">
        <v>91.7451</v>
      </c>
      <c r="AI14" s="25">
        <v>64.22157</v>
      </c>
      <c r="AJ14" s="20">
        <v>0</v>
      </c>
      <c r="AK14" s="25">
        <f t="shared" si="1"/>
        <v>78.17157</v>
      </c>
    </row>
    <row r="15" ht="13.5" customHeight="1" spans="1:37">
      <c r="A15" s="18">
        <v>2511650111</v>
      </c>
      <c r="B15" s="18" t="s">
        <v>211</v>
      </c>
      <c r="C15" s="18" t="s">
        <v>201</v>
      </c>
      <c r="D15" s="19">
        <v>0</v>
      </c>
      <c r="E15" s="19">
        <v>0</v>
      </c>
      <c r="F15" s="20">
        <v>0</v>
      </c>
      <c r="G15" s="20">
        <v>4</v>
      </c>
      <c r="H15" s="20">
        <v>4</v>
      </c>
      <c r="I15" s="20">
        <v>0</v>
      </c>
      <c r="J15" s="20">
        <v>0</v>
      </c>
      <c r="K15" s="21">
        <v>1.4</v>
      </c>
      <c r="L15" s="22"/>
      <c r="M15" s="20">
        <v>0</v>
      </c>
      <c r="N15" s="20">
        <v>0</v>
      </c>
      <c r="O15" s="19">
        <v>12</v>
      </c>
      <c r="P15" s="19">
        <v>0</v>
      </c>
      <c r="Q15" s="19">
        <v>2</v>
      </c>
      <c r="R15" s="19">
        <v>0</v>
      </c>
      <c r="S15" s="19">
        <v>0</v>
      </c>
      <c r="T15" s="19">
        <v>2.5</v>
      </c>
      <c r="U15" s="21">
        <v>5</v>
      </c>
      <c r="V15" s="23"/>
      <c r="W15" s="22"/>
      <c r="X15" s="20">
        <v>0</v>
      </c>
      <c r="Y15" s="20">
        <v>0</v>
      </c>
      <c r="Z15" s="20">
        <v>4</v>
      </c>
      <c r="AA15" s="20">
        <v>0</v>
      </c>
      <c r="AB15" s="20">
        <v>1</v>
      </c>
      <c r="AC15" s="20">
        <v>2</v>
      </c>
      <c r="AD15" s="20">
        <v>4</v>
      </c>
      <c r="AE15" s="20">
        <v>2</v>
      </c>
      <c r="AF15" s="20">
        <f t="shared" si="0"/>
        <v>43.9</v>
      </c>
      <c r="AG15" s="20">
        <v>13.17</v>
      </c>
      <c r="AH15" s="24">
        <v>92.9216</v>
      </c>
      <c r="AI15" s="25">
        <v>65.04512</v>
      </c>
      <c r="AJ15" s="20">
        <v>3.75</v>
      </c>
      <c r="AK15" s="25">
        <f t="shared" si="1"/>
        <v>81.96512</v>
      </c>
    </row>
    <row r="16" ht="13.5" customHeight="1" spans="1:37">
      <c r="A16" s="18">
        <v>2511650112</v>
      </c>
      <c r="B16" s="18" t="s">
        <v>212</v>
      </c>
      <c r="C16" s="18" t="s">
        <v>201</v>
      </c>
      <c r="D16" s="19">
        <v>0</v>
      </c>
      <c r="E16" s="19">
        <v>0</v>
      </c>
      <c r="F16" s="20">
        <v>0</v>
      </c>
      <c r="G16" s="20">
        <v>5</v>
      </c>
      <c r="H16" s="20">
        <v>3</v>
      </c>
      <c r="I16" s="20">
        <v>0</v>
      </c>
      <c r="J16" s="20">
        <v>0</v>
      </c>
      <c r="K16" s="21">
        <v>1.4</v>
      </c>
      <c r="L16" s="22"/>
      <c r="M16" s="20">
        <v>0</v>
      </c>
      <c r="N16" s="20">
        <v>0</v>
      </c>
      <c r="O16" s="19">
        <v>9</v>
      </c>
      <c r="P16" s="19">
        <v>0</v>
      </c>
      <c r="Q16" s="19">
        <v>1.2</v>
      </c>
      <c r="R16" s="19">
        <v>0</v>
      </c>
      <c r="S16" s="19">
        <v>0</v>
      </c>
      <c r="T16" s="19">
        <v>1</v>
      </c>
      <c r="U16" s="21">
        <v>5</v>
      </c>
      <c r="V16" s="23"/>
      <c r="W16" s="22"/>
      <c r="X16" s="20">
        <v>0</v>
      </c>
      <c r="Y16" s="20">
        <v>3</v>
      </c>
      <c r="Z16" s="20">
        <v>0</v>
      </c>
      <c r="AA16" s="20">
        <v>0</v>
      </c>
      <c r="AB16" s="20">
        <v>4.5</v>
      </c>
      <c r="AC16" s="20">
        <v>0</v>
      </c>
      <c r="AD16" s="20">
        <v>0</v>
      </c>
      <c r="AE16" s="20">
        <v>0</v>
      </c>
      <c r="AF16" s="20">
        <f t="shared" si="0"/>
        <v>33.1</v>
      </c>
      <c r="AG16" s="20">
        <v>9.93</v>
      </c>
      <c r="AH16" s="24">
        <v>89.5882</v>
      </c>
      <c r="AI16" s="25">
        <v>62.71174</v>
      </c>
      <c r="AJ16" s="20">
        <v>0.25</v>
      </c>
      <c r="AK16" s="25">
        <f t="shared" si="1"/>
        <v>72.89174</v>
      </c>
    </row>
    <row r="17" ht="13.5" customHeight="1" spans="1:37">
      <c r="A17" s="18">
        <v>2511650113</v>
      </c>
      <c r="B17" s="18" t="s">
        <v>213</v>
      </c>
      <c r="C17" s="18" t="s">
        <v>201</v>
      </c>
      <c r="D17" s="19">
        <v>0</v>
      </c>
      <c r="E17" s="19">
        <v>0</v>
      </c>
      <c r="F17" s="20">
        <v>0</v>
      </c>
      <c r="G17" s="20">
        <v>0</v>
      </c>
      <c r="H17" s="20">
        <v>2</v>
      </c>
      <c r="I17" s="20">
        <v>0</v>
      </c>
      <c r="J17" s="20">
        <v>0</v>
      </c>
      <c r="K17" s="21">
        <v>0.4</v>
      </c>
      <c r="L17" s="22"/>
      <c r="M17" s="20">
        <v>0</v>
      </c>
      <c r="N17" s="20">
        <v>0</v>
      </c>
      <c r="O17" s="19">
        <v>12</v>
      </c>
      <c r="P17" s="19">
        <v>0</v>
      </c>
      <c r="Q17" s="19">
        <v>2</v>
      </c>
      <c r="R17" s="19">
        <v>0</v>
      </c>
      <c r="S17" s="19">
        <v>0</v>
      </c>
      <c r="T17" s="19">
        <v>0</v>
      </c>
      <c r="U17" s="21">
        <v>5</v>
      </c>
      <c r="V17" s="23"/>
      <c r="W17" s="22"/>
      <c r="X17" s="20">
        <v>0</v>
      </c>
      <c r="Y17" s="20">
        <v>3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f t="shared" si="0"/>
        <v>24.4</v>
      </c>
      <c r="AG17" s="20">
        <v>7.32</v>
      </c>
      <c r="AH17" s="24">
        <v>69.0784</v>
      </c>
      <c r="AI17" s="25">
        <v>48.35488</v>
      </c>
      <c r="AJ17" s="20">
        <v>0</v>
      </c>
      <c r="AK17" s="25">
        <f t="shared" si="1"/>
        <v>55.67488</v>
      </c>
    </row>
    <row r="18" ht="13.5" customHeight="1" spans="1:37">
      <c r="A18" s="18">
        <v>2511650114</v>
      </c>
      <c r="B18" s="18" t="s">
        <v>214</v>
      </c>
      <c r="C18" s="18" t="s">
        <v>201</v>
      </c>
      <c r="D18" s="19">
        <v>4</v>
      </c>
      <c r="E18" s="19">
        <v>2</v>
      </c>
      <c r="F18" s="20">
        <v>2</v>
      </c>
      <c r="G18" s="20">
        <v>4</v>
      </c>
      <c r="H18" s="20">
        <v>4</v>
      </c>
      <c r="I18" s="20">
        <v>0</v>
      </c>
      <c r="J18" s="20">
        <v>0</v>
      </c>
      <c r="K18" s="21">
        <v>2.4</v>
      </c>
      <c r="L18" s="22"/>
      <c r="M18" s="20">
        <v>0</v>
      </c>
      <c r="N18" s="20">
        <v>1</v>
      </c>
      <c r="O18" s="19">
        <v>12</v>
      </c>
      <c r="P18" s="19">
        <v>2</v>
      </c>
      <c r="Q18" s="19">
        <v>2</v>
      </c>
      <c r="R18" s="19">
        <v>2</v>
      </c>
      <c r="S18" s="19">
        <v>3</v>
      </c>
      <c r="T18" s="19">
        <v>3</v>
      </c>
      <c r="U18" s="21">
        <v>5</v>
      </c>
      <c r="V18" s="23"/>
      <c r="W18" s="22"/>
      <c r="X18" s="20">
        <v>0</v>
      </c>
      <c r="Y18" s="20">
        <v>3</v>
      </c>
      <c r="Z18" s="20">
        <v>6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f t="shared" si="0"/>
        <v>57.4</v>
      </c>
      <c r="AG18" s="20">
        <v>17.22</v>
      </c>
      <c r="AH18" s="24">
        <v>82.9216</v>
      </c>
      <c r="AI18" s="25">
        <v>58.04512</v>
      </c>
      <c r="AJ18" s="20">
        <v>0</v>
      </c>
      <c r="AK18" s="25">
        <f t="shared" si="1"/>
        <v>75.26512</v>
      </c>
    </row>
    <row r="19" ht="13.5" customHeight="1" spans="1:37">
      <c r="A19" s="18">
        <v>2511650115</v>
      </c>
      <c r="B19" s="18" t="s">
        <v>215</v>
      </c>
      <c r="C19" s="18" t="s">
        <v>201</v>
      </c>
      <c r="D19" s="19">
        <v>0</v>
      </c>
      <c r="E19" s="19">
        <v>0</v>
      </c>
      <c r="F19" s="20">
        <v>0</v>
      </c>
      <c r="G19" s="20">
        <v>0</v>
      </c>
      <c r="H19" s="20">
        <v>2</v>
      </c>
      <c r="I19" s="20">
        <v>0</v>
      </c>
      <c r="J19" s="20">
        <v>0</v>
      </c>
      <c r="K19" s="21">
        <v>1.4</v>
      </c>
      <c r="L19" s="22"/>
      <c r="M19" s="20">
        <v>0</v>
      </c>
      <c r="N19" s="20">
        <v>0</v>
      </c>
      <c r="O19" s="19">
        <v>12</v>
      </c>
      <c r="P19" s="19">
        <v>0</v>
      </c>
      <c r="Q19" s="19">
        <v>2</v>
      </c>
      <c r="R19" s="19">
        <v>0</v>
      </c>
      <c r="S19" s="19">
        <v>0</v>
      </c>
      <c r="T19" s="19">
        <v>0</v>
      </c>
      <c r="U19" s="21">
        <v>5</v>
      </c>
      <c r="V19" s="23"/>
      <c r="W19" s="22"/>
      <c r="X19" s="20">
        <v>0</v>
      </c>
      <c r="Y19" s="20">
        <v>3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0">
        <f t="shared" si="0"/>
        <v>25.4</v>
      </c>
      <c r="AG19" s="20">
        <v>7.62</v>
      </c>
      <c r="AH19" s="24">
        <v>70.4118</v>
      </c>
      <c r="AI19" s="25">
        <v>49.28826</v>
      </c>
      <c r="AJ19" s="20">
        <v>0</v>
      </c>
      <c r="AK19" s="25">
        <f t="shared" si="1"/>
        <v>56.90826</v>
      </c>
    </row>
    <row r="20" ht="13.5" customHeight="1" spans="1:37">
      <c r="A20" s="18">
        <v>2511650116</v>
      </c>
      <c r="B20" s="18" t="s">
        <v>216</v>
      </c>
      <c r="C20" s="18" t="s">
        <v>201</v>
      </c>
      <c r="D20" s="19">
        <v>0</v>
      </c>
      <c r="E20" s="19">
        <v>2</v>
      </c>
      <c r="F20" s="20">
        <v>4</v>
      </c>
      <c r="G20" s="20">
        <v>4</v>
      </c>
      <c r="H20" s="20">
        <v>4</v>
      </c>
      <c r="I20" s="20">
        <v>0</v>
      </c>
      <c r="J20" s="20">
        <v>3</v>
      </c>
      <c r="K20" s="21">
        <v>5</v>
      </c>
      <c r="L20" s="22"/>
      <c r="M20" s="20">
        <v>0</v>
      </c>
      <c r="N20" s="20">
        <v>2</v>
      </c>
      <c r="O20" s="19">
        <v>12</v>
      </c>
      <c r="P20" s="19">
        <v>0</v>
      </c>
      <c r="Q20" s="19">
        <v>2</v>
      </c>
      <c r="R20" s="19">
        <v>0</v>
      </c>
      <c r="S20" s="19">
        <v>0</v>
      </c>
      <c r="T20" s="19">
        <v>3</v>
      </c>
      <c r="U20" s="21">
        <v>5</v>
      </c>
      <c r="V20" s="23"/>
      <c r="W20" s="22"/>
      <c r="X20" s="20">
        <v>0</v>
      </c>
      <c r="Y20" s="20">
        <v>5</v>
      </c>
      <c r="Z20" s="20">
        <v>3</v>
      </c>
      <c r="AA20" s="20">
        <v>0</v>
      </c>
      <c r="AB20" s="20">
        <v>0.5</v>
      </c>
      <c r="AC20" s="20">
        <v>0</v>
      </c>
      <c r="AD20" s="20">
        <v>0</v>
      </c>
      <c r="AE20" s="20">
        <v>0</v>
      </c>
      <c r="AF20" s="20">
        <f t="shared" si="0"/>
        <v>54.5</v>
      </c>
      <c r="AG20" s="20">
        <v>16.35</v>
      </c>
      <c r="AH20" s="24">
        <v>79.0784</v>
      </c>
      <c r="AI20" s="25">
        <v>55.35488</v>
      </c>
      <c r="AJ20" s="20">
        <v>0</v>
      </c>
      <c r="AK20" s="25">
        <f t="shared" si="1"/>
        <v>71.70488</v>
      </c>
    </row>
    <row r="21" ht="13.5" customHeight="1" spans="1:37">
      <c r="A21" s="18">
        <v>2511650117</v>
      </c>
      <c r="B21" s="18" t="s">
        <v>217</v>
      </c>
      <c r="C21" s="18" t="s">
        <v>201</v>
      </c>
      <c r="D21" s="19">
        <v>0</v>
      </c>
      <c r="E21" s="19">
        <v>0</v>
      </c>
      <c r="F21" s="20">
        <v>2</v>
      </c>
      <c r="G21" s="20">
        <v>3</v>
      </c>
      <c r="H21" s="20">
        <v>3</v>
      </c>
      <c r="I21" s="20">
        <v>2</v>
      </c>
      <c r="J21" s="20">
        <v>0</v>
      </c>
      <c r="K21" s="21">
        <v>2.4</v>
      </c>
      <c r="L21" s="22"/>
      <c r="M21" s="20">
        <v>0</v>
      </c>
      <c r="N21" s="20">
        <v>0.5</v>
      </c>
      <c r="O21" s="19">
        <v>10.5</v>
      </c>
      <c r="P21" s="19">
        <v>0</v>
      </c>
      <c r="Q21" s="19">
        <v>1.6</v>
      </c>
      <c r="R21" s="19">
        <v>0</v>
      </c>
      <c r="S21" s="19">
        <v>0</v>
      </c>
      <c r="T21" s="19">
        <v>0</v>
      </c>
      <c r="U21" s="21">
        <v>5</v>
      </c>
      <c r="V21" s="23"/>
      <c r="W21" s="22"/>
      <c r="X21" s="20">
        <v>0</v>
      </c>
      <c r="Y21" s="20">
        <v>3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0">
        <f t="shared" si="0"/>
        <v>33</v>
      </c>
      <c r="AG21" s="20">
        <v>9.9</v>
      </c>
      <c r="AH21" s="24">
        <v>72.6078</v>
      </c>
      <c r="AI21" s="25">
        <v>50.82546</v>
      </c>
      <c r="AJ21" s="20">
        <v>0</v>
      </c>
      <c r="AK21" s="25">
        <f t="shared" si="1"/>
        <v>60.72546</v>
      </c>
    </row>
    <row r="22" ht="13.5" customHeight="1" spans="1:37">
      <c r="A22" s="18">
        <v>2511650118</v>
      </c>
      <c r="B22" s="18" t="s">
        <v>218</v>
      </c>
      <c r="C22" s="18" t="s">
        <v>201</v>
      </c>
      <c r="D22" s="19">
        <v>4</v>
      </c>
      <c r="E22" s="19">
        <v>2</v>
      </c>
      <c r="F22" s="20">
        <v>0</v>
      </c>
      <c r="G22" s="20">
        <v>3</v>
      </c>
      <c r="H22" s="20">
        <v>3</v>
      </c>
      <c r="I22" s="20">
        <v>0</v>
      </c>
      <c r="J22" s="20">
        <v>0</v>
      </c>
      <c r="K22" s="21">
        <v>0.4</v>
      </c>
      <c r="L22" s="22"/>
      <c r="M22" s="20">
        <v>0</v>
      </c>
      <c r="N22" s="20">
        <v>0</v>
      </c>
      <c r="O22" s="19">
        <v>10.5</v>
      </c>
      <c r="P22" s="19">
        <v>2</v>
      </c>
      <c r="Q22" s="19">
        <v>1.6</v>
      </c>
      <c r="R22" s="19">
        <v>2</v>
      </c>
      <c r="S22" s="19">
        <v>3</v>
      </c>
      <c r="T22" s="19">
        <v>2</v>
      </c>
      <c r="U22" s="21">
        <v>5</v>
      </c>
      <c r="V22" s="23"/>
      <c r="W22" s="22"/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f t="shared" si="0"/>
        <v>38.5</v>
      </c>
      <c r="AG22" s="20">
        <v>11.55</v>
      </c>
      <c r="AH22" s="24">
        <v>76.8824</v>
      </c>
      <c r="AI22" s="25">
        <v>53.81768</v>
      </c>
      <c r="AJ22" s="20">
        <v>0</v>
      </c>
      <c r="AK22" s="25">
        <f t="shared" si="1"/>
        <v>65.36768</v>
      </c>
    </row>
    <row r="23" ht="13.5" customHeight="1" spans="1:37">
      <c r="A23" s="18">
        <v>2511650119</v>
      </c>
      <c r="B23" s="18" t="s">
        <v>219</v>
      </c>
      <c r="C23" s="18" t="s">
        <v>201</v>
      </c>
      <c r="D23" s="19">
        <v>0</v>
      </c>
      <c r="E23" s="19">
        <v>0</v>
      </c>
      <c r="F23" s="20">
        <v>2</v>
      </c>
      <c r="G23" s="20">
        <v>6</v>
      </c>
      <c r="H23" s="20">
        <v>3</v>
      </c>
      <c r="I23" s="20">
        <v>0</v>
      </c>
      <c r="J23" s="20">
        <v>0</v>
      </c>
      <c r="K23" s="21">
        <v>0.4</v>
      </c>
      <c r="L23" s="22"/>
      <c r="M23" s="20">
        <v>0</v>
      </c>
      <c r="N23" s="20">
        <v>1</v>
      </c>
      <c r="O23" s="19">
        <v>12</v>
      </c>
      <c r="P23" s="19">
        <v>0</v>
      </c>
      <c r="Q23" s="19">
        <v>2</v>
      </c>
      <c r="R23" s="19">
        <v>0</v>
      </c>
      <c r="S23" s="19">
        <v>0</v>
      </c>
      <c r="T23" s="19">
        <v>2.5</v>
      </c>
      <c r="U23" s="21">
        <v>5</v>
      </c>
      <c r="V23" s="23"/>
      <c r="W23" s="22"/>
      <c r="X23" s="20">
        <v>0</v>
      </c>
      <c r="Y23" s="20">
        <v>0</v>
      </c>
      <c r="Z23" s="20">
        <v>3.5</v>
      </c>
      <c r="AA23" s="20">
        <v>0</v>
      </c>
      <c r="AB23" s="20">
        <v>8</v>
      </c>
      <c r="AC23" s="20">
        <v>0</v>
      </c>
      <c r="AD23" s="20">
        <v>0</v>
      </c>
      <c r="AE23" s="20">
        <v>0</v>
      </c>
      <c r="AF23" s="20">
        <f t="shared" si="0"/>
        <v>45.4</v>
      </c>
      <c r="AG23" s="20">
        <v>13.62</v>
      </c>
      <c r="AH23" s="24">
        <v>86.3333</v>
      </c>
      <c r="AI23" s="25">
        <v>60.43331</v>
      </c>
      <c r="AJ23" s="20">
        <v>2</v>
      </c>
      <c r="AK23" s="25">
        <f t="shared" si="1"/>
        <v>76.05331</v>
      </c>
    </row>
    <row r="24" ht="13.5" customHeight="1" spans="1:37">
      <c r="A24" s="18">
        <v>2511650120</v>
      </c>
      <c r="B24" s="18" t="s">
        <v>220</v>
      </c>
      <c r="C24" s="18" t="s">
        <v>201</v>
      </c>
      <c r="D24" s="19">
        <v>0</v>
      </c>
      <c r="E24" s="19">
        <v>0</v>
      </c>
      <c r="F24" s="20">
        <v>0</v>
      </c>
      <c r="G24" s="20">
        <v>0</v>
      </c>
      <c r="H24" s="20">
        <v>2</v>
      </c>
      <c r="I24" s="20">
        <v>0</v>
      </c>
      <c r="J24" s="20">
        <v>0</v>
      </c>
      <c r="K24" s="21">
        <v>0.4</v>
      </c>
      <c r="L24" s="22"/>
      <c r="M24" s="20">
        <v>0</v>
      </c>
      <c r="N24" s="20">
        <v>0</v>
      </c>
      <c r="O24" s="19">
        <v>10.5</v>
      </c>
      <c r="P24" s="19">
        <v>0</v>
      </c>
      <c r="Q24" s="19">
        <v>1.6</v>
      </c>
      <c r="R24" s="19">
        <v>0</v>
      </c>
      <c r="S24" s="19">
        <v>0</v>
      </c>
      <c r="T24" s="19">
        <v>0</v>
      </c>
      <c r="U24" s="21">
        <v>5</v>
      </c>
      <c r="V24" s="23"/>
      <c r="W24" s="22"/>
      <c r="X24" s="20">
        <v>0</v>
      </c>
      <c r="Y24" s="20">
        <v>3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f t="shared" si="0"/>
        <v>22.5</v>
      </c>
      <c r="AG24" s="20">
        <v>6.75</v>
      </c>
      <c r="AH24" s="24">
        <v>74.451</v>
      </c>
      <c r="AI24" s="25">
        <v>52.1157</v>
      </c>
      <c r="AJ24" s="20">
        <v>0</v>
      </c>
      <c r="AK24" s="25">
        <f t="shared" si="1"/>
        <v>58.8657</v>
      </c>
    </row>
    <row r="25" ht="13.5" customHeight="1" spans="1:37">
      <c r="A25" s="18">
        <v>2511650121</v>
      </c>
      <c r="B25" s="18" t="s">
        <v>221</v>
      </c>
      <c r="C25" s="18" t="s">
        <v>201</v>
      </c>
      <c r="D25" s="19">
        <v>0</v>
      </c>
      <c r="E25" s="19">
        <v>0</v>
      </c>
      <c r="F25" s="20">
        <v>0</v>
      </c>
      <c r="G25" s="20">
        <v>0</v>
      </c>
      <c r="H25" s="20">
        <v>3</v>
      </c>
      <c r="I25" s="20">
        <v>0</v>
      </c>
      <c r="J25" s="20">
        <v>0</v>
      </c>
      <c r="K25" s="21">
        <v>0.4</v>
      </c>
      <c r="L25" s="22"/>
      <c r="M25" s="20">
        <v>0</v>
      </c>
      <c r="N25" s="20">
        <v>0</v>
      </c>
      <c r="O25" s="19">
        <v>10.5</v>
      </c>
      <c r="P25" s="19">
        <v>0</v>
      </c>
      <c r="Q25" s="19">
        <v>1.6</v>
      </c>
      <c r="R25" s="19">
        <v>0</v>
      </c>
      <c r="S25" s="19">
        <v>0</v>
      </c>
      <c r="T25" s="19">
        <v>0</v>
      </c>
      <c r="U25" s="21">
        <v>5</v>
      </c>
      <c r="V25" s="23"/>
      <c r="W25" s="22"/>
      <c r="X25" s="20">
        <v>0</v>
      </c>
      <c r="Y25" s="20">
        <v>3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f t="shared" si="0"/>
        <v>23.5</v>
      </c>
      <c r="AG25" s="20">
        <v>7.05</v>
      </c>
      <c r="AH25" s="24">
        <v>77.7451</v>
      </c>
      <c r="AI25" s="25">
        <v>54.42157</v>
      </c>
      <c r="AJ25" s="20">
        <v>0</v>
      </c>
      <c r="AK25" s="25">
        <f t="shared" si="1"/>
        <v>61.47157</v>
      </c>
    </row>
    <row r="26" ht="13.5" customHeight="1" spans="1:37">
      <c r="A26" s="18">
        <v>2511650122</v>
      </c>
      <c r="B26" s="18" t="s">
        <v>222</v>
      </c>
      <c r="C26" s="18" t="s">
        <v>201</v>
      </c>
      <c r="D26" s="19">
        <v>0</v>
      </c>
      <c r="E26" s="19">
        <v>0</v>
      </c>
      <c r="F26" s="20">
        <v>0</v>
      </c>
      <c r="G26" s="20">
        <v>0</v>
      </c>
      <c r="H26" s="20">
        <v>3</v>
      </c>
      <c r="I26" s="20">
        <v>0</v>
      </c>
      <c r="J26" s="20">
        <v>0</v>
      </c>
      <c r="K26" s="21">
        <v>0.4</v>
      </c>
      <c r="L26" s="22"/>
      <c r="M26" s="20">
        <v>0</v>
      </c>
      <c r="N26" s="20">
        <v>0</v>
      </c>
      <c r="O26" s="19">
        <v>10.5</v>
      </c>
      <c r="P26" s="19">
        <v>0</v>
      </c>
      <c r="Q26" s="19">
        <v>1.6</v>
      </c>
      <c r="R26" s="19">
        <v>0</v>
      </c>
      <c r="S26" s="19">
        <v>0</v>
      </c>
      <c r="T26" s="19">
        <v>0</v>
      </c>
      <c r="U26" s="21">
        <v>5</v>
      </c>
      <c r="V26" s="23"/>
      <c r="W26" s="22"/>
      <c r="X26" s="20">
        <v>0</v>
      </c>
      <c r="Y26" s="20">
        <v>3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f t="shared" si="0"/>
        <v>23.5</v>
      </c>
      <c r="AG26" s="20">
        <v>7.05</v>
      </c>
      <c r="AH26" s="24">
        <v>72.6863</v>
      </c>
      <c r="AI26" s="25">
        <v>50.88041</v>
      </c>
      <c r="AJ26" s="20">
        <v>0</v>
      </c>
      <c r="AK26" s="25">
        <f t="shared" si="1"/>
        <v>57.93041</v>
      </c>
    </row>
    <row r="27" ht="13.5" customHeight="1" spans="1:37">
      <c r="A27" s="18">
        <v>2511650123</v>
      </c>
      <c r="B27" s="18" t="s">
        <v>223</v>
      </c>
      <c r="C27" s="18" t="s">
        <v>201</v>
      </c>
      <c r="D27" s="19">
        <v>0</v>
      </c>
      <c r="E27" s="19">
        <v>0</v>
      </c>
      <c r="F27" s="20">
        <v>4</v>
      </c>
      <c r="G27" s="20">
        <v>4</v>
      </c>
      <c r="H27" s="20">
        <v>4</v>
      </c>
      <c r="I27" s="20">
        <v>0</v>
      </c>
      <c r="J27" s="20">
        <v>3</v>
      </c>
      <c r="K27" s="21">
        <v>5</v>
      </c>
      <c r="L27" s="22"/>
      <c r="M27" s="20">
        <v>0</v>
      </c>
      <c r="N27" s="20">
        <v>2</v>
      </c>
      <c r="O27" s="19">
        <v>10.5</v>
      </c>
      <c r="P27" s="19">
        <v>0</v>
      </c>
      <c r="Q27" s="19">
        <v>1.6</v>
      </c>
      <c r="R27" s="19">
        <v>0</v>
      </c>
      <c r="S27" s="19">
        <v>0</v>
      </c>
      <c r="T27" s="19">
        <v>1</v>
      </c>
      <c r="U27" s="21">
        <v>5</v>
      </c>
      <c r="V27" s="23"/>
      <c r="W27" s="22"/>
      <c r="X27" s="20">
        <v>0</v>
      </c>
      <c r="Y27" s="20">
        <v>0</v>
      </c>
      <c r="Z27" s="20">
        <v>3</v>
      </c>
      <c r="AA27" s="20">
        <v>0</v>
      </c>
      <c r="AB27" s="20">
        <v>0</v>
      </c>
      <c r="AC27" s="20">
        <v>0</v>
      </c>
      <c r="AD27" s="20">
        <v>0</v>
      </c>
      <c r="AE27" s="20">
        <v>0</v>
      </c>
      <c r="AF27" s="20">
        <f t="shared" si="0"/>
        <v>43.1</v>
      </c>
      <c r="AG27" s="20">
        <v>12.93</v>
      </c>
      <c r="AH27" s="24">
        <v>86.7647</v>
      </c>
      <c r="AI27" s="25">
        <v>60.73529</v>
      </c>
      <c r="AJ27" s="20">
        <v>0.5</v>
      </c>
      <c r="AK27" s="25">
        <f t="shared" si="1"/>
        <v>74.16529</v>
      </c>
    </row>
    <row r="28" ht="13.5" customHeight="1" spans="1:37">
      <c r="A28" s="18">
        <v>2511650124</v>
      </c>
      <c r="B28" s="18" t="s">
        <v>224</v>
      </c>
      <c r="C28" s="18" t="s">
        <v>201</v>
      </c>
      <c r="D28" s="19">
        <v>0</v>
      </c>
      <c r="E28" s="19">
        <v>0</v>
      </c>
      <c r="F28" s="20">
        <v>0</v>
      </c>
      <c r="G28" s="20">
        <v>0</v>
      </c>
      <c r="H28" s="20">
        <v>3</v>
      </c>
      <c r="I28" s="20">
        <v>0</v>
      </c>
      <c r="J28" s="20">
        <v>0</v>
      </c>
      <c r="K28" s="21">
        <v>1.4</v>
      </c>
      <c r="L28" s="22"/>
      <c r="M28" s="20">
        <v>0</v>
      </c>
      <c r="N28" s="20">
        <v>0</v>
      </c>
      <c r="O28" s="19">
        <v>10.5</v>
      </c>
      <c r="P28" s="19">
        <v>0</v>
      </c>
      <c r="Q28" s="19">
        <v>1.6</v>
      </c>
      <c r="R28" s="19">
        <v>0</v>
      </c>
      <c r="S28" s="19">
        <v>0</v>
      </c>
      <c r="T28" s="19">
        <v>0</v>
      </c>
      <c r="U28" s="21">
        <v>5</v>
      </c>
      <c r="V28" s="23"/>
      <c r="W28" s="22"/>
      <c r="X28" s="20">
        <v>0</v>
      </c>
      <c r="Y28" s="20">
        <v>3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f t="shared" si="0"/>
        <v>24.5</v>
      </c>
      <c r="AG28" s="20">
        <v>7.35</v>
      </c>
      <c r="AH28" s="24">
        <v>92.098</v>
      </c>
      <c r="AI28" s="25">
        <v>64.4686</v>
      </c>
      <c r="AJ28" s="20">
        <v>0.25</v>
      </c>
      <c r="AK28" s="25">
        <f t="shared" si="1"/>
        <v>72.0686</v>
      </c>
    </row>
    <row r="29" ht="13.5" customHeight="1" spans="1:37">
      <c r="A29" s="18">
        <v>2511650125</v>
      </c>
      <c r="B29" s="18" t="s">
        <v>225</v>
      </c>
      <c r="C29" s="18" t="s">
        <v>201</v>
      </c>
      <c r="D29" s="19">
        <v>0</v>
      </c>
      <c r="E29" s="19">
        <v>0</v>
      </c>
      <c r="F29" s="20">
        <v>0</v>
      </c>
      <c r="G29" s="20">
        <v>4</v>
      </c>
      <c r="H29" s="20">
        <v>3</v>
      </c>
      <c r="I29" s="20">
        <v>0</v>
      </c>
      <c r="J29" s="20">
        <v>0</v>
      </c>
      <c r="K29" s="21">
        <v>1.4</v>
      </c>
      <c r="L29" s="22"/>
      <c r="M29" s="20">
        <v>0</v>
      </c>
      <c r="N29" s="20">
        <v>0</v>
      </c>
      <c r="O29" s="19">
        <v>10.5</v>
      </c>
      <c r="P29" s="19">
        <v>0</v>
      </c>
      <c r="Q29" s="19">
        <v>1.6</v>
      </c>
      <c r="R29" s="19">
        <v>0</v>
      </c>
      <c r="S29" s="19">
        <v>0</v>
      </c>
      <c r="T29" s="19">
        <v>1</v>
      </c>
      <c r="U29" s="21">
        <v>5</v>
      </c>
      <c r="V29" s="23"/>
      <c r="W29" s="22"/>
      <c r="X29" s="20">
        <v>0</v>
      </c>
      <c r="Y29" s="20">
        <v>3</v>
      </c>
      <c r="Z29" s="20">
        <v>0</v>
      </c>
      <c r="AA29" s="20">
        <v>0</v>
      </c>
      <c r="AB29" s="20">
        <v>0.5</v>
      </c>
      <c r="AC29" s="20">
        <v>2</v>
      </c>
      <c r="AD29" s="20">
        <v>4</v>
      </c>
      <c r="AE29" s="20">
        <v>2</v>
      </c>
      <c r="AF29" s="20">
        <f t="shared" si="0"/>
        <v>38</v>
      </c>
      <c r="AG29" s="20">
        <v>11.4</v>
      </c>
      <c r="AH29" s="24">
        <v>75.3529</v>
      </c>
      <c r="AI29" s="25">
        <v>52.74703</v>
      </c>
      <c r="AJ29" s="20">
        <v>0</v>
      </c>
      <c r="AK29" s="25">
        <f t="shared" si="1"/>
        <v>64.14703</v>
      </c>
    </row>
    <row r="30" ht="13.5" customHeight="1" spans="1:37">
      <c r="A30" s="18">
        <v>2511650126</v>
      </c>
      <c r="B30" s="18" t="s">
        <v>226</v>
      </c>
      <c r="C30" s="18" t="s">
        <v>201</v>
      </c>
      <c r="D30" s="26">
        <v>4</v>
      </c>
      <c r="E30" s="19">
        <v>2</v>
      </c>
      <c r="F30" s="20">
        <v>0</v>
      </c>
      <c r="G30" s="20">
        <v>3</v>
      </c>
      <c r="H30" s="20">
        <v>2</v>
      </c>
      <c r="I30" s="20">
        <v>0</v>
      </c>
      <c r="J30" s="20">
        <v>0</v>
      </c>
      <c r="K30" s="21">
        <v>1.4</v>
      </c>
      <c r="L30" s="22"/>
      <c r="M30" s="20">
        <v>0</v>
      </c>
      <c r="N30" s="20">
        <v>0</v>
      </c>
      <c r="O30" s="19">
        <v>10.5</v>
      </c>
      <c r="P30" s="19">
        <v>2</v>
      </c>
      <c r="Q30" s="19">
        <v>1.6</v>
      </c>
      <c r="R30" s="19">
        <v>2</v>
      </c>
      <c r="S30" s="19">
        <v>3</v>
      </c>
      <c r="T30" s="19">
        <v>2</v>
      </c>
      <c r="U30" s="21">
        <v>5</v>
      </c>
      <c r="V30" s="23"/>
      <c r="W30" s="22"/>
      <c r="X30" s="20">
        <v>0</v>
      </c>
      <c r="Y30" s="20">
        <v>3</v>
      </c>
      <c r="Z30" s="20">
        <v>4</v>
      </c>
      <c r="AA30" s="20">
        <v>0</v>
      </c>
      <c r="AB30" s="20">
        <v>0</v>
      </c>
      <c r="AC30" s="20">
        <v>0</v>
      </c>
      <c r="AD30" s="20">
        <v>0</v>
      </c>
      <c r="AE30" s="20">
        <v>0</v>
      </c>
      <c r="AF30" s="20">
        <f t="shared" si="0"/>
        <v>45.5</v>
      </c>
      <c r="AG30" s="20">
        <v>13.65</v>
      </c>
      <c r="AH30" s="24">
        <v>74.8431</v>
      </c>
      <c r="AI30" s="25">
        <v>52.39017</v>
      </c>
      <c r="AJ30" s="20">
        <v>0</v>
      </c>
      <c r="AK30" s="25">
        <f t="shared" si="1"/>
        <v>66.04017</v>
      </c>
    </row>
    <row r="31" ht="13.5" customHeight="1" spans="1:37">
      <c r="A31" s="18">
        <v>2511650127</v>
      </c>
      <c r="B31" s="18" t="s">
        <v>227</v>
      </c>
      <c r="C31" s="18" t="s">
        <v>201</v>
      </c>
      <c r="D31" s="19">
        <v>0</v>
      </c>
      <c r="E31" s="19">
        <v>0</v>
      </c>
      <c r="F31" s="20">
        <v>0</v>
      </c>
      <c r="G31" s="20">
        <v>6</v>
      </c>
      <c r="H31" s="20">
        <v>3</v>
      </c>
      <c r="I31" s="20">
        <v>0</v>
      </c>
      <c r="J31" s="20">
        <v>0</v>
      </c>
      <c r="K31" s="21">
        <v>1.4</v>
      </c>
      <c r="L31" s="22"/>
      <c r="M31" s="20">
        <v>0</v>
      </c>
      <c r="N31" s="20">
        <v>0</v>
      </c>
      <c r="O31" s="19">
        <v>10.5</v>
      </c>
      <c r="P31" s="19">
        <v>0</v>
      </c>
      <c r="Q31" s="19">
        <v>1.6</v>
      </c>
      <c r="R31" s="19">
        <v>0</v>
      </c>
      <c r="S31" s="19">
        <v>0</v>
      </c>
      <c r="T31" s="19">
        <v>0</v>
      </c>
      <c r="U31" s="21">
        <v>5</v>
      </c>
      <c r="V31" s="23"/>
      <c r="W31" s="22"/>
      <c r="X31" s="20">
        <v>0</v>
      </c>
      <c r="Y31" s="20">
        <v>5</v>
      </c>
      <c r="Z31" s="20">
        <v>6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0">
        <f t="shared" si="0"/>
        <v>38.5</v>
      </c>
      <c r="AG31" s="20">
        <v>11.55</v>
      </c>
      <c r="AH31" s="24">
        <v>77.0392</v>
      </c>
      <c r="AI31" s="25">
        <v>53.92744</v>
      </c>
      <c r="AJ31" s="20">
        <v>0</v>
      </c>
      <c r="AK31" s="25">
        <f t="shared" si="1"/>
        <v>65.47744</v>
      </c>
    </row>
    <row r="32" ht="13.5" customHeight="1" spans="1:37">
      <c r="A32" s="18">
        <v>2511650128</v>
      </c>
      <c r="B32" s="18" t="s">
        <v>228</v>
      </c>
      <c r="C32" s="18" t="s">
        <v>201</v>
      </c>
      <c r="D32" s="19">
        <v>0</v>
      </c>
      <c r="E32" s="19">
        <v>0</v>
      </c>
      <c r="F32" s="20">
        <v>0</v>
      </c>
      <c r="G32" s="20">
        <v>5</v>
      </c>
      <c r="H32" s="20">
        <v>2</v>
      </c>
      <c r="I32" s="20">
        <v>0</v>
      </c>
      <c r="J32" s="20">
        <v>0</v>
      </c>
      <c r="K32" s="21">
        <v>1.4</v>
      </c>
      <c r="L32" s="22"/>
      <c r="M32" s="20">
        <v>0</v>
      </c>
      <c r="N32" s="20">
        <v>0</v>
      </c>
      <c r="O32" s="19">
        <v>10.5</v>
      </c>
      <c r="P32" s="19">
        <v>0</v>
      </c>
      <c r="Q32" s="19">
        <v>1.6</v>
      </c>
      <c r="R32" s="19">
        <v>0</v>
      </c>
      <c r="S32" s="19">
        <v>0</v>
      </c>
      <c r="T32" s="19">
        <v>1</v>
      </c>
      <c r="U32" s="21">
        <v>5</v>
      </c>
      <c r="V32" s="23"/>
      <c r="W32" s="22"/>
      <c r="X32" s="20">
        <v>0</v>
      </c>
      <c r="Y32" s="20">
        <v>3</v>
      </c>
      <c r="Z32" s="20">
        <v>0</v>
      </c>
      <c r="AA32" s="20">
        <v>0</v>
      </c>
      <c r="AB32" s="20">
        <v>4.5</v>
      </c>
      <c r="AC32" s="20">
        <v>0</v>
      </c>
      <c r="AD32" s="20">
        <v>0</v>
      </c>
      <c r="AE32" s="20">
        <v>0</v>
      </c>
      <c r="AF32" s="20">
        <f t="shared" si="0"/>
        <v>34</v>
      </c>
      <c r="AG32" s="20">
        <v>10.2</v>
      </c>
      <c r="AH32" s="24">
        <v>72.7647</v>
      </c>
      <c r="AI32" s="25">
        <v>50.93529</v>
      </c>
      <c r="AJ32" s="20">
        <v>0</v>
      </c>
      <c r="AK32" s="25">
        <f t="shared" si="1"/>
        <v>61.13529</v>
      </c>
    </row>
    <row r="33" ht="13.5" customHeight="1" spans="1:37">
      <c r="A33" s="18">
        <v>2511650129</v>
      </c>
      <c r="B33" s="18" t="s">
        <v>229</v>
      </c>
      <c r="C33" s="18" t="s">
        <v>201</v>
      </c>
      <c r="D33" s="19">
        <v>0</v>
      </c>
      <c r="E33" s="19">
        <v>0</v>
      </c>
      <c r="F33" s="20">
        <v>0</v>
      </c>
      <c r="G33" s="20">
        <v>4</v>
      </c>
      <c r="H33" s="20">
        <v>3</v>
      </c>
      <c r="I33" s="20">
        <v>0</v>
      </c>
      <c r="J33" s="20">
        <v>0</v>
      </c>
      <c r="K33" s="21">
        <v>2.4</v>
      </c>
      <c r="L33" s="22"/>
      <c r="M33" s="20">
        <v>0</v>
      </c>
      <c r="N33" s="20">
        <v>0</v>
      </c>
      <c r="O33" s="19">
        <v>12</v>
      </c>
      <c r="P33" s="19">
        <v>0</v>
      </c>
      <c r="Q33" s="19">
        <v>2</v>
      </c>
      <c r="R33" s="19">
        <v>0</v>
      </c>
      <c r="S33" s="19">
        <v>0</v>
      </c>
      <c r="T33" s="19">
        <v>0</v>
      </c>
      <c r="U33" s="21">
        <v>5</v>
      </c>
      <c r="V33" s="23"/>
      <c r="W33" s="22"/>
      <c r="X33" s="20">
        <v>0</v>
      </c>
      <c r="Y33" s="20">
        <v>3</v>
      </c>
      <c r="Z33" s="20">
        <v>0.5</v>
      </c>
      <c r="AA33" s="20">
        <v>0</v>
      </c>
      <c r="AB33" s="20">
        <v>0</v>
      </c>
      <c r="AC33" s="20">
        <v>2</v>
      </c>
      <c r="AD33" s="20">
        <v>4</v>
      </c>
      <c r="AE33" s="20">
        <v>2</v>
      </c>
      <c r="AF33" s="20">
        <f t="shared" si="0"/>
        <v>39.9</v>
      </c>
      <c r="AG33" s="20">
        <v>11.97</v>
      </c>
      <c r="AH33" s="24">
        <v>93.4706</v>
      </c>
      <c r="AI33" s="25">
        <v>65.42942</v>
      </c>
      <c r="AJ33" s="20">
        <v>2.25</v>
      </c>
      <c r="AK33" s="25">
        <f t="shared" si="1"/>
        <v>79.64942</v>
      </c>
    </row>
    <row r="34" ht="13.5" customHeight="1" spans="1:37">
      <c r="A34" s="18">
        <v>2511650130</v>
      </c>
      <c r="B34" s="18" t="s">
        <v>230</v>
      </c>
      <c r="C34" s="18" t="s">
        <v>201</v>
      </c>
      <c r="D34" s="19">
        <v>0</v>
      </c>
      <c r="E34" s="19">
        <v>0</v>
      </c>
      <c r="F34" s="20">
        <v>0</v>
      </c>
      <c r="G34" s="20">
        <v>0</v>
      </c>
      <c r="H34" s="20">
        <v>2</v>
      </c>
      <c r="I34" s="20">
        <v>0</v>
      </c>
      <c r="J34" s="20">
        <v>0</v>
      </c>
      <c r="K34" s="21">
        <v>0.4</v>
      </c>
      <c r="L34" s="22"/>
      <c r="M34" s="20">
        <v>0</v>
      </c>
      <c r="N34" s="20">
        <v>0</v>
      </c>
      <c r="O34" s="19">
        <v>10.5</v>
      </c>
      <c r="P34" s="19">
        <v>0</v>
      </c>
      <c r="Q34" s="19">
        <v>1.6</v>
      </c>
      <c r="R34" s="19">
        <v>0</v>
      </c>
      <c r="S34" s="19">
        <v>0</v>
      </c>
      <c r="T34" s="19">
        <v>0.5</v>
      </c>
      <c r="U34" s="21">
        <v>5</v>
      </c>
      <c r="V34" s="23"/>
      <c r="W34" s="22"/>
      <c r="X34" s="20">
        <v>0</v>
      </c>
      <c r="Y34" s="20">
        <v>3</v>
      </c>
      <c r="Z34" s="20">
        <v>0.5</v>
      </c>
      <c r="AA34" s="20">
        <v>0</v>
      </c>
      <c r="AB34" s="20">
        <v>0.5</v>
      </c>
      <c r="AC34" s="20">
        <v>0</v>
      </c>
      <c r="AD34" s="20">
        <v>0</v>
      </c>
      <c r="AE34" s="20">
        <v>0</v>
      </c>
      <c r="AF34" s="20">
        <f t="shared" si="0"/>
        <v>24</v>
      </c>
      <c r="AG34" s="20">
        <v>7.2</v>
      </c>
      <c r="AH34" s="24">
        <v>70.0588</v>
      </c>
      <c r="AI34" s="25">
        <v>49.04116</v>
      </c>
      <c r="AJ34" s="20">
        <v>0</v>
      </c>
      <c r="AK34" s="25">
        <f t="shared" si="1"/>
        <v>56.24116</v>
      </c>
    </row>
  </sheetData>
  <mergeCells count="98">
    <mergeCell ref="A1:AK1"/>
    <mergeCell ref="D2:E2"/>
    <mergeCell ref="F2:I2"/>
    <mergeCell ref="J2:N2"/>
    <mergeCell ref="O2:Q2"/>
    <mergeCell ref="R2:T2"/>
    <mergeCell ref="X2:AB2"/>
    <mergeCell ref="AC2:AE2"/>
    <mergeCell ref="G3:I3"/>
    <mergeCell ref="K3:N3"/>
    <mergeCell ref="S3:T3"/>
    <mergeCell ref="K4:L4"/>
    <mergeCell ref="K5:L5"/>
    <mergeCell ref="U5:W5"/>
    <mergeCell ref="K6:L6"/>
    <mergeCell ref="U6:W6"/>
    <mergeCell ref="K7:L7"/>
    <mergeCell ref="U7:W7"/>
    <mergeCell ref="K8:L8"/>
    <mergeCell ref="U8:W8"/>
    <mergeCell ref="K9:L9"/>
    <mergeCell ref="U9:W9"/>
    <mergeCell ref="K10:L10"/>
    <mergeCell ref="U10:W10"/>
    <mergeCell ref="K11:L11"/>
    <mergeCell ref="U11:W11"/>
    <mergeCell ref="K12:L12"/>
    <mergeCell ref="U12:W12"/>
    <mergeCell ref="K13:L13"/>
    <mergeCell ref="U13:W13"/>
    <mergeCell ref="K14:L14"/>
    <mergeCell ref="U14:W14"/>
    <mergeCell ref="K15:L15"/>
    <mergeCell ref="U15:W15"/>
    <mergeCell ref="K16:L16"/>
    <mergeCell ref="U16:W16"/>
    <mergeCell ref="K17:L17"/>
    <mergeCell ref="U17:W17"/>
    <mergeCell ref="K18:L18"/>
    <mergeCell ref="U18:W18"/>
    <mergeCell ref="K19:L19"/>
    <mergeCell ref="U19:W19"/>
    <mergeCell ref="K20:L20"/>
    <mergeCell ref="U20:W20"/>
    <mergeCell ref="K21:L21"/>
    <mergeCell ref="U21:W21"/>
    <mergeCell ref="K22:L22"/>
    <mergeCell ref="U22:W22"/>
    <mergeCell ref="K23:L23"/>
    <mergeCell ref="U23:W23"/>
    <mergeCell ref="K24:L24"/>
    <mergeCell ref="U24:W24"/>
    <mergeCell ref="K25:L25"/>
    <mergeCell ref="U25:W25"/>
    <mergeCell ref="K26:L26"/>
    <mergeCell ref="U26:W26"/>
    <mergeCell ref="K27:L27"/>
    <mergeCell ref="U27:W27"/>
    <mergeCell ref="K28:L28"/>
    <mergeCell ref="U28:W28"/>
    <mergeCell ref="K29:L29"/>
    <mergeCell ref="U29:W29"/>
    <mergeCell ref="K30:L30"/>
    <mergeCell ref="U30:W30"/>
    <mergeCell ref="K31:L31"/>
    <mergeCell ref="U31:W31"/>
    <mergeCell ref="K32:L32"/>
    <mergeCell ref="U32:W32"/>
    <mergeCell ref="K33:L33"/>
    <mergeCell ref="U33:W33"/>
    <mergeCell ref="K34:L34"/>
    <mergeCell ref="U34:W34"/>
    <mergeCell ref="A2:A4"/>
    <mergeCell ref="B2:B4"/>
    <mergeCell ref="C2:C4"/>
    <mergeCell ref="D3:D4"/>
    <mergeCell ref="E3:E4"/>
    <mergeCell ref="F3:F4"/>
    <mergeCell ref="J3:J4"/>
    <mergeCell ref="O3:O4"/>
    <mergeCell ref="P3:P4"/>
    <mergeCell ref="Q3:Q4"/>
    <mergeCell ref="R3:R4"/>
    <mergeCell ref="X3:X4"/>
    <mergeCell ref="Y3:Y4"/>
    <mergeCell ref="Z3:Z4"/>
    <mergeCell ref="AA3:AA4"/>
    <mergeCell ref="AB3:AB4"/>
    <mergeCell ref="AC3:AC4"/>
    <mergeCell ref="AD3:AD4"/>
    <mergeCell ref="AE3:AE4"/>
    <mergeCell ref="AF2:AF4"/>
    <mergeCell ref="AG2:AG4"/>
    <mergeCell ref="AH2:AH4"/>
    <mergeCell ref="AI2:AI4"/>
    <mergeCell ref="AJ2:AJ4"/>
    <mergeCell ref="AK2:AK4"/>
    <mergeCell ref="U2:W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计算机2501-02综测成绩</vt:lpstr>
      <vt:lpstr>大数据2501综测成绩</vt:lpstr>
      <vt:lpstr>信计2501综测成绩</vt:lpstr>
      <vt:lpstr>人工智能2501综测成绩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无忧猛士二师兄</cp:lastModifiedBy>
  <cp:revision>0</cp:revision>
  <dcterms:created xsi:type="dcterms:W3CDTF">2025-03-09T13:17:00Z</dcterms:created>
  <dcterms:modified xsi:type="dcterms:W3CDTF">2026-09-10T13:38:44Z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4DD2115A76714049B8786B862467D437_13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